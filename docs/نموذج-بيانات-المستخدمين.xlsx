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التعليمات" sheetId="1" state="visible" r:id="rId1"/>
    <sheet xmlns:r="http://schemas.openxmlformats.org/officeDocument/2006/relationships" name="المستخدمون" sheetId="2" state="visible" r:id="rId2"/>
    <sheet xmlns:r="http://schemas.openxmlformats.org/officeDocument/2006/relationships" name="الأدوار والصلاحيات" sheetId="3" state="visible" r:id="rId3"/>
    <sheet xmlns:r="http://schemas.openxmlformats.org/officeDocument/2006/relationships" name="القوائم" sheetId="4" state="visible" r:id="rId4"/>
  </sheets>
  <definedNames>
    <definedName name="_xlnm._FilterDatabase" localSheetId="1" hidden="1">'المستخدمون'!$A$4:$S$205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7F6000"/>
      <sz val="10"/>
    </font>
    <font>
      <name val="Arial"/>
      <b val="1"/>
      <color rgb="00FFFFFF"/>
      <sz val="16"/>
    </font>
    <font>
      <name val="Arial"/>
      <color rgb="00404040"/>
      <sz val="10"/>
    </font>
    <font>
      <name val="Arial"/>
      <i val="1"/>
      <color rgb="007F7F7F"/>
      <sz val="11"/>
    </font>
    <font>
      <name val="Arial"/>
      <sz val="10"/>
    </font>
    <font>
      <name val="Arial"/>
      <b val="1"/>
      <color rgb="00FFFFFF"/>
      <sz val="14"/>
    </font>
    <font>
      <name val="Arial"/>
      <b val="1"/>
      <sz val="11"/>
    </font>
    <font>
      <name val="Arial"/>
      <color rgb="00006100"/>
      <sz val="11"/>
    </font>
    <font>
      <name val="Arial"/>
      <color rgb="001F3864"/>
      <sz val="11"/>
    </font>
    <font>
      <name val="Arial"/>
      <color rgb="007F7F7F"/>
      <sz val="11"/>
    </font>
    <font>
      <name val="Arial"/>
      <i val="1"/>
      <sz val="10"/>
    </font>
    <font>
      <name val="Arial"/>
      <b val="1"/>
      <color rgb="001F3864"/>
      <sz val="13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595959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 readingOrder="2"/>
    </xf>
    <xf numFmtId="0" fontId="14" fillId="0" borderId="0" pivotButton="0" quotePrefix="0" xfId="0"/>
    <xf numFmtId="0" fontId="9" fillId="0" borderId="0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0" fillId="4" borderId="1" pivotButton="0" quotePrefix="0" xfId="0"/>
    <xf numFmtId="0" fontId="0" fillId="2" borderId="1" pivotButton="0" quotePrefix="0" xfId="0"/>
    <xf numFmtId="0" fontId="0" fillId="8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horizontal="right" vertical="center" wrapText="1" readingOrder="2"/>
    </xf>
    <xf numFmtId="0" fontId="9" fillId="0" borderId="1" applyAlignment="1" pivotButton="0" quotePrefix="0" xfId="0">
      <alignment horizontal="right" vertical="center" wrapText="1" readingOrder="2"/>
    </xf>
    <xf numFmtId="0" fontId="5" fillId="0" borderId="0" applyAlignment="1" pivotButton="0" quotePrefix="0" xfId="0">
      <alignment horizontal="right" vertical="center" wrapText="1" readingOrder="2"/>
    </xf>
    <xf numFmtId="0" fontId="1" fillId="2" borderId="1" applyAlignment="1" pivotButton="0" quotePrefix="0" xfId="0">
      <alignment horizontal="center" vertical="center" wrapText="1" readingOrder="2"/>
    </xf>
    <xf numFmtId="0" fontId="1" fillId="4" borderId="1" applyAlignment="1" pivotButton="0" quotePrefix="0" xfId="0">
      <alignment horizontal="center" vertical="center" wrapText="1" readingOrder="2"/>
    </xf>
    <xf numFmtId="0" fontId="1" fillId="5" borderId="1" applyAlignment="1" pivotButton="0" quotePrefix="0" xfId="0">
      <alignment horizontal="center" vertical="center" wrapText="1" readingOrder="2"/>
    </xf>
    <xf numFmtId="0" fontId="6" fillId="6" borderId="1" applyAlignment="1" pivotButton="0" quotePrefix="0" xfId="0">
      <alignment horizontal="right" vertical="center" wrapText="1" readingOrder="2"/>
    </xf>
    <xf numFmtId="0" fontId="2" fillId="6" borderId="1" applyAlignment="1" pivotButton="0" quotePrefix="0" xfId="0">
      <alignment horizontal="center" vertical="center" wrapText="1" readingOrder="2"/>
    </xf>
    <xf numFmtId="49" fontId="2" fillId="0" borderId="1" applyAlignment="1" pivotButton="0" quotePrefix="0" xfId="0">
      <alignment horizontal="right" vertical="center" wrapText="1" readingOrder="2"/>
    </xf>
    <xf numFmtId="164" fontId="2" fillId="0" borderId="1" applyAlignment="1" pivotButton="0" quotePrefix="0" xfId="0">
      <alignment horizontal="right" vertical="center" wrapText="1" readingOrder="2"/>
    </xf>
    <xf numFmtId="0" fontId="7" fillId="6" borderId="1" applyAlignment="1" pivotButton="0" quotePrefix="0" xfId="0">
      <alignment horizontal="right" vertical="center" wrapText="1" readingOrder="2"/>
    </xf>
    <xf numFmtId="0" fontId="8" fillId="2" borderId="0" applyAlignment="1" pivotButton="0" quotePrefix="0" xfId="0">
      <alignment horizontal="center" vertical="center" wrapText="1" readingOrder="2"/>
    </xf>
    <xf numFmtId="0" fontId="9" fillId="7" borderId="1" applyAlignment="1" pivotButton="0" quotePrefix="0" xfId="0">
      <alignment horizontal="center" vertical="center" wrapText="1" readingOrder="2"/>
    </xf>
    <xf numFmtId="0" fontId="10" fillId="0" borderId="1" applyAlignment="1" pivotButton="0" quotePrefix="0" xfId="0">
      <alignment horizontal="center" vertical="center" wrapText="1" readingOrder="2"/>
    </xf>
    <xf numFmtId="0" fontId="11" fillId="0" borderId="1" applyAlignment="1" pivotButton="0" quotePrefix="0" xfId="0">
      <alignment horizontal="center" vertical="center" wrapText="1" readingOrder="2"/>
    </xf>
    <xf numFmtId="0" fontId="12" fillId="0" borderId="1" applyAlignment="1" pivotButton="0" quotePrefix="0" xfId="0">
      <alignment horizontal="center" vertical="center" wrapText="1" readingOrder="2"/>
    </xf>
    <xf numFmtId="0" fontId="13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3" borderId="0" applyAlignment="1" pivotButton="0" quotePrefix="0" xfId="0">
      <alignment horizontal="right" vertical="center" wrapText="1" readingOrder="2"/>
    </xf>
    <xf numFmtId="0" fontId="3" fillId="3" borderId="0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dxfs count="3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Aidi</author>
  </authors>
  <commentList>
    <comment ref="D4" authorId="0" shapeId="0">
      <text>
        <t>حروف إنجليزية وأرقام بدون مسافات، ولا يتكرر. مثال: a.alharbi</t>
      </text>
    </comment>
    <comment ref="F4" authorId="0" shapeId="0">
      <text>
        <t>بصيغة 05XXXXXXXX</t>
      </text>
    </comment>
    <comment ref="G4" authorId="0" shapeId="0">
      <text>
        <t>10 أرقام. بيانات محمية لا تظهر إلا لمن لديه صلاحية.</t>
      </text>
    </comment>
    <comment ref="J4" authorId="0" shapeId="0">
      <text>
        <t>راجع ورقة (الأدوار والصلاحيات) لمعرفة ما يستطيعه كل دور.</t>
      </text>
    </comment>
    <comment ref="K4" authorId="0" shapeId="0">
      <text>
        <t>اسم المستخدم للمشرف كما هو مكتوب في هذا الجدول. مطلوب لموظفي التحصيل.</t>
      </text>
    </comment>
    <comment ref="L4" authorId="0" shapeId="0">
      <text>
        <t>رقم تحويلة Issabel من 2 إلى 6 أرقام، لا تتكرر بين موظفين.</t>
      </text>
    </comment>
    <comment ref="M4" authorId="0" shapeId="0">
      <text>
        <t>نعم = يحتاج تحويلة ويُعطى صلاحية إجراء المكالمات والسوفت فون.</t>
      </text>
    </comment>
    <comment ref="N4" authorId="0" shapeId="0">
      <text>
        <t>اسم العقد أو المحفظة المسندة للموظف إن وجد.</t>
      </text>
    </comment>
    <comment ref="P4" authorId="0" shapeId="0">
      <text>
        <t>مبلغ بالريال، أو نسبة مثل 15 تعني 15٪.</t>
      </text>
    </comment>
    <comment ref="S4" authorId="0" shapeId="0">
      <text>
        <t>يُحسب تلقائياً، لا تكتبوا فيه.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7"/>
  <sheetViews>
    <sheetView showGridLines="1" rightToLeft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80" customWidth="1" min="3" max="3"/>
  </cols>
  <sheetData>
    <row r="1" ht="32" customHeight="1">
      <c r="B1" s="1" t="inlineStr">
        <is>
          <t>طريقة تعبئة نموذج المستخدمين</t>
        </is>
      </c>
    </row>
    <row r="3">
      <c r="B3" s="2" t="inlineStr">
        <is>
          <t>الخطوات</t>
        </is>
      </c>
    </row>
    <row r="4" ht="32" customHeight="1">
      <c r="B4" s="3" t="inlineStr">
        <is>
          <t>الخطوة 1</t>
        </is>
      </c>
      <c r="C4" s="4" t="inlineStr">
        <is>
          <t>افتحوا ورقة (المستخدمون) وابدؤوا من الصف 6، مستخدم واحد في كل صف.</t>
        </is>
      </c>
    </row>
    <row r="5" ht="32" customHeight="1">
      <c r="B5" s="3" t="inlineStr">
        <is>
          <t>الخطوة 2</t>
        </is>
      </c>
      <c r="C5" s="4" t="inlineStr">
        <is>
          <t>الأعمدة ذات العنوان الأحمر وعلامة * إلزامية. مرّروا الماوس على العنوان لقراءة الشرح.</t>
        </is>
      </c>
    </row>
    <row r="6" ht="32" customHeight="1">
      <c r="B6" s="3" t="inlineStr">
        <is>
          <t>الخطوة 3</t>
        </is>
      </c>
      <c r="C6" s="4" t="inlineStr">
        <is>
          <t>الجنسية والفرع والدور والحالة: اختاروا من القائمة المنسدلة. لإضافة فرع أو جنسية اكتبوها في ورقة (القوائم).</t>
        </is>
      </c>
    </row>
    <row r="7" ht="32" customHeight="1">
      <c r="B7" s="3" t="inlineStr">
        <is>
          <t>الخطوة 4</t>
        </is>
      </c>
      <c r="C7" s="4" t="inlineStr">
        <is>
          <t>المشرف المباشر: اكتبوا أو اختاروا اسم المستخدم للمشرف، ويجب أن يكون المشرف نفسه مسجلاً في الجدول.</t>
        </is>
      </c>
    </row>
    <row r="8" ht="32" customHeight="1">
      <c r="B8" s="3" t="inlineStr">
        <is>
          <t>الخطوة 5</t>
        </is>
      </c>
      <c r="C8" s="4" t="inlineStr">
        <is>
          <t>رقم التحويلة: رقم تحويلة Issabel للموظف (2 إلى 6 أرقام). لا تكرروا نفس التحويلة لموظفين. اتركوها فارغة إن لم يكن للموظف تحويلة.</t>
        </is>
      </c>
    </row>
    <row r="9" ht="32" customHeight="1">
      <c r="B9" s="3" t="inlineStr">
        <is>
          <t>الخطوة 6</t>
        </is>
      </c>
      <c r="C9" s="4" t="inlineStr">
        <is>
          <t>(يجري مكالمات من النظام؟) = نعم يعني أنه يحتاج تحويلة ويحصل على السوفت فون في المتصفح.</t>
        </is>
      </c>
    </row>
    <row r="10" ht="32" customHeight="1">
      <c r="B10" s="3" t="inlineStr">
        <is>
          <t>الخطوة 7</t>
        </is>
      </c>
      <c r="C10" s="4" t="inlineStr">
        <is>
          <t>عمود (التحقق) يتلوّن بالأخضر عند اكتمال الصف، وبالأحمر مع سبب المشكلة. أصلحوا كل الصفوف الحمراء قبل الإرسال.</t>
        </is>
      </c>
    </row>
    <row r="11" ht="32" customHeight="1">
      <c r="B11" s="3" t="inlineStr">
        <is>
          <t>الخطوة 8</t>
        </is>
      </c>
      <c r="C11" s="4" t="inlineStr">
        <is>
          <t>لا تكتبوا أي كلمة مرور في الملف. سيُرسل لكل مستخدم كلمة مرور مؤقتة يغيّرها عند أول دخول.</t>
        </is>
      </c>
    </row>
    <row r="12" ht="32" customHeight="1">
      <c r="B12" s="3" t="inlineStr">
        <is>
          <t>الخطوة 9</t>
        </is>
      </c>
      <c r="C12" s="4" t="inlineStr">
        <is>
          <t>راجعوا ورقة (الأدوار والصلاحيات) لاختيار الدور المناسب. إن احتاج شخص صلاحية خاصة اكتبوها في عمود الملاحظات.</t>
        </is>
      </c>
    </row>
    <row r="14">
      <c r="B14" s="2" t="inlineStr">
        <is>
          <t>دليل الألوان</t>
        </is>
      </c>
    </row>
    <row r="15">
      <c r="B15" s="5" t="n"/>
      <c r="C15" s="4" t="inlineStr">
        <is>
          <t>عنوان أحمر: حقل إلزامي</t>
        </is>
      </c>
    </row>
    <row r="16">
      <c r="B16" s="6" t="n"/>
      <c r="C16" s="4" t="inlineStr">
        <is>
          <t>عنوان أزرق داكن: حقل اختياري</t>
        </is>
      </c>
    </row>
    <row r="17">
      <c r="B17" s="7" t="n"/>
      <c r="C17" s="4" t="inlineStr">
        <is>
          <t>خلية بيضاء: تُعبَّأ من قبلكم</t>
        </is>
      </c>
    </row>
    <row r="18">
      <c r="B18" s="8" t="n"/>
      <c r="C18" s="4" t="inlineStr">
        <is>
          <t>خلية رمادية: مثال أو حساب تلقائي، لا تُعدَّل</t>
        </is>
      </c>
    </row>
    <row r="19">
      <c r="B19" s="9" t="n"/>
      <c r="C19" s="4" t="inlineStr">
        <is>
          <t>خلية صفراء (في ورقة القوائم): قائمة يمكنكم الإضافة إليها</t>
        </is>
      </c>
    </row>
    <row r="21">
      <c r="B21" s="2" t="inlineStr">
        <is>
          <t>ملخص تلقائي</t>
        </is>
      </c>
    </row>
    <row r="22">
      <c r="B22" s="10" t="inlineStr">
        <is>
          <t>عدد المستخدمين المُدخلين</t>
        </is>
      </c>
      <c r="C22" s="11">
        <f>COUNTIF(المستخدمون!$S$6:$S$205,"✔*")+COUNTIF(المستخدمون!$S$6:$S$205,"•*")</f>
        <v/>
      </c>
    </row>
    <row r="23">
      <c r="B23" s="10" t="inlineStr">
        <is>
          <t>صفوف مكتملة</t>
        </is>
      </c>
      <c r="C23" s="11">
        <f>COUNTIF(المستخدمون!$S$6:$S$205,"✔*")</f>
        <v/>
      </c>
    </row>
    <row r="24">
      <c r="B24" s="10" t="inlineStr">
        <is>
          <t>صفوف فيها ملاحظات تحتاج تصحيح</t>
        </is>
      </c>
      <c r="C24" s="11">
        <f>COUNTIF(المستخدمون!$S$6:$S$205,"•*")</f>
        <v/>
      </c>
    </row>
    <row r="25">
      <c r="B25" s="10" t="inlineStr">
        <is>
          <t>عدد المشرفين</t>
        </is>
      </c>
      <c r="C25" s="11">
        <f>COUNTIF(المستخدمون!$J$6:$J$205,"مشرف")</f>
        <v/>
      </c>
    </row>
    <row r="26">
      <c r="B26" s="10" t="inlineStr">
        <is>
          <t>عدد موظفي التحصيل</t>
        </is>
      </c>
      <c r="C26" s="11">
        <f>COUNTIF(المستخدمون!$J$6:$J$205,"موظف تحصيل")</f>
        <v/>
      </c>
    </row>
    <row r="27">
      <c r="B27" s="10" t="inlineStr">
        <is>
          <t>عدد من لديهم تحويلة</t>
        </is>
      </c>
      <c r="C27" s="11">
        <f>COUNTA(المستخدمون!$L$6:$L$205)</f>
        <v/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5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0" customWidth="1" min="4" max="4"/>
    <col width="26" customWidth="1" min="5" max="5"/>
    <col width="15" customWidth="1" min="6" max="6"/>
    <col width="16" customWidth="1" min="7" max="7"/>
    <col width="14" customWidth="1" min="8" max="8"/>
    <col width="14" customWidth="1" min="9" max="9"/>
    <col width="20" customWidth="1" min="10" max="10"/>
    <col width="22" customWidth="1" min="11" max="11"/>
    <col width="12" customWidth="1" min="12" max="12"/>
    <col width="14" customWidth="1" min="13" max="13"/>
    <col width="18" customWidth="1" min="14" max="14"/>
    <col width="13" customWidth="1" min="15" max="15"/>
    <col width="13" customWidth="1" min="16" max="16"/>
    <col width="11" customWidth="1" min="17" max="17"/>
    <col width="26" customWidth="1" min="18" max="18"/>
    <col width="34" customWidth="1" min="19" max="19"/>
  </cols>
  <sheetData>
    <row r="1" ht="32" customHeight="1">
      <c r="A1" s="1" t="inlineStr">
        <is>
          <t>نموذج بيانات المستخدمين والتحويلات — برنامج التحصيل الذكي</t>
        </is>
      </c>
    </row>
    <row r="2" ht="34" customHeight="1">
      <c r="A2" s="12" t="inlineStr">
        <is>
          <t>عبّئوا الخلايا البيضاء من الصف 6. الأعمدة المعلّمة بـ * إلزامية. الصف 5 مثال للتوضيح (لا تعدّلوه). لا تكتبوا كلمات المرور: النظام يُنشئ كلمة مرور مؤقتة لكل مستخدم ويُطلب تغييرها عند أول دخول.</t>
        </is>
      </c>
    </row>
    <row r="3">
      <c r="A3" s="12" t="inlineStr">
        <is>
          <t>تاريخ التعبئة: ________    اسم من قام بالتعبئة: ________    التوقيت: الرياض</t>
        </is>
      </c>
    </row>
    <row r="4" ht="44" customHeight="1">
      <c r="A4" s="13" t="inlineStr">
        <is>
          <t>م</t>
        </is>
      </c>
      <c r="B4" s="14" t="inlineStr">
        <is>
          <t>الاسم الأول *</t>
        </is>
      </c>
      <c r="C4" s="14" t="inlineStr">
        <is>
          <t>اسم العائلة *</t>
        </is>
      </c>
      <c r="D4" s="14" t="inlineStr">
        <is>
          <t>اسم المستخدم (للدخول) *</t>
        </is>
      </c>
      <c r="E4" s="14" t="inlineStr">
        <is>
          <t>البريد الإلكتروني *</t>
        </is>
      </c>
      <c r="F4" s="14" t="inlineStr">
        <is>
          <t>رقم الجوال *</t>
        </is>
      </c>
      <c r="G4" s="13" t="inlineStr">
        <is>
          <t>رقم الهوية / الإقامة</t>
        </is>
      </c>
      <c r="H4" s="14" t="inlineStr">
        <is>
          <t>الجنسية *</t>
        </is>
      </c>
      <c r="I4" s="14" t="inlineStr">
        <is>
          <t>الفرع *</t>
        </is>
      </c>
      <c r="J4" s="14" t="inlineStr">
        <is>
          <t>الدور / الصلاحية *</t>
        </is>
      </c>
      <c r="K4" s="13" t="inlineStr">
        <is>
          <t>المشرف المباشر (اسم المستخدم)</t>
        </is>
      </c>
      <c r="L4" s="13" t="inlineStr">
        <is>
          <t>رقم التحويلة</t>
        </is>
      </c>
      <c r="M4" s="14" t="inlineStr">
        <is>
          <t>يجري مكالمات من النظام؟ *</t>
        </is>
      </c>
      <c r="N4" s="13" t="inlineStr">
        <is>
          <t>العقد / المحفظة</t>
        </is>
      </c>
      <c r="O4" s="13" t="inlineStr">
        <is>
          <t>نوع الهدف الشهري</t>
        </is>
      </c>
      <c r="P4" s="13" t="inlineStr">
        <is>
          <t>قيمة الهدف</t>
        </is>
      </c>
      <c r="Q4" s="14" t="inlineStr">
        <is>
          <t>الحالة *</t>
        </is>
      </c>
      <c r="R4" s="13" t="inlineStr">
        <is>
          <t>ملاحظات</t>
        </is>
      </c>
      <c r="S4" s="15" t="inlineStr">
        <is>
          <t>التحقق (تلقائي)</t>
        </is>
      </c>
    </row>
    <row r="5">
      <c r="A5" s="16" t="inlineStr">
        <is>
          <t>مثال</t>
        </is>
      </c>
      <c r="B5" s="16" t="inlineStr">
        <is>
          <t>أحمد</t>
        </is>
      </c>
      <c r="C5" s="16" t="inlineStr">
        <is>
          <t>الحربي</t>
        </is>
      </c>
      <c r="D5" s="16" t="inlineStr">
        <is>
          <t>a.alharbi</t>
        </is>
      </c>
      <c r="E5" s="16" t="inlineStr">
        <is>
          <t>a.alharbi@example.com</t>
        </is>
      </c>
      <c r="F5" s="16" t="inlineStr">
        <is>
          <t>0551234567</t>
        </is>
      </c>
      <c r="G5" s="16" t="inlineStr">
        <is>
          <t>1012345678</t>
        </is>
      </c>
      <c r="H5" s="16" t="inlineStr">
        <is>
          <t>سعودي</t>
        </is>
      </c>
      <c r="I5" s="16" t="inlineStr">
        <is>
          <t>الرياض</t>
        </is>
      </c>
      <c r="J5" s="16" t="inlineStr">
        <is>
          <t>موظف تحصيل</t>
        </is>
      </c>
      <c r="K5" s="16" t="inlineStr">
        <is>
          <t>m.alqahtani</t>
        </is>
      </c>
      <c r="L5" s="16" t="inlineStr">
        <is>
          <t>2101</t>
        </is>
      </c>
      <c r="M5" s="16" t="inlineStr">
        <is>
          <t>نعم</t>
        </is>
      </c>
      <c r="N5" s="16" t="inlineStr">
        <is>
          <t>محفظة البنك 2026</t>
        </is>
      </c>
      <c r="O5" s="16" t="inlineStr">
        <is>
          <t>مبلغ</t>
        </is>
      </c>
      <c r="P5" s="16" t="n">
        <v>150000</v>
      </c>
      <c r="Q5" s="16" t="inlineStr">
        <is>
          <t>نشط</t>
        </is>
      </c>
      <c r="R5" s="16" t="inlineStr">
        <is>
          <t>بداية العمل 1 أكتوبر</t>
        </is>
      </c>
      <c r="S5" s="16" t="n"/>
    </row>
    <row r="6">
      <c r="A6" s="17">
        <f>IF(COUNTA(B6:R6)=0,"",ROW()-5)</f>
        <v/>
      </c>
      <c r="B6" s="18" t="n"/>
      <c r="C6" s="18" t="n"/>
      <c r="D6" s="18" t="n"/>
      <c r="E6" s="18" t="n"/>
      <c r="F6" s="18" t="n"/>
      <c r="G6" s="18" t="n"/>
      <c r="H6" s="10" t="n"/>
      <c r="I6" s="10" t="n"/>
      <c r="J6" s="10" t="n"/>
      <c r="K6" s="10" t="n"/>
      <c r="L6" s="18" t="n"/>
      <c r="M6" s="10" t="n"/>
      <c r="N6" s="18" t="n"/>
      <c r="O6" s="10" t="n"/>
      <c r="P6" s="19" t="n"/>
      <c r="Q6" s="10" t="n"/>
      <c r="R6" s="18" t="n"/>
      <c r="S6" s="20">
        <f>IF(COUNTA(B6:R6)=0,"",IF((IF(((B6="")+(C6="")+(D6="")+(E6="")+(F6="")+(H6="")+(I6="")+(J6="")+(M6="")+(Q6=""))&gt;0,"• حقول إلزامية ناقصة ","")&amp;IF(AND(D6&lt;&gt;"",COUNTIF($D$6:$D$205,D6)&gt;1),"• اسم المستخدم مكرر ","")&amp;IF(AND(D6&lt;&gt;"",ISNUMBER(SEARCH(" ",D6))),"• اسم المستخدم فيه مسافة ","")&amp;IF(AND(E6&lt;&gt;"",OR(ISERROR(SEARCH("@",E6)),ISERROR(SEARCH(".",E6)))),"• البريد غير صحيح ","")&amp;IF(AND(F6&lt;&gt;"",OR(LEN(F6)&lt;&gt;10,LEFT(F6,2)&lt;&gt;"05",ISERROR(--F6))),"• الجوال ليس بصيغة 05XXXXXXXX ","")&amp;IF(AND(L6&lt;&gt;"",OR(LEN(L6)&lt;2,LEN(L6)&gt;6,ISERROR(--L6),ISNUMBER(SEARCH(".",L6)))),"• التحويلة يجب أن تكون 2-6 أرقام ","")&amp;IF(AND(L6&lt;&gt;"",COUNTIF($L$6:$L$205,L6)&gt;1),"• التحويلة مكررة ","")&amp;IF(AND(M6="نعم",L6=""),"• يجري مكالمات بدون تحويلة ","")&amp;IF(AND(K6&lt;&gt;"",COUNTIF($D$6:$D$205,K6)=0),"• المشرف غير موجود في الجدول ","")&amp;IF(AND(J6="موظف تحصيل",K6=""),"• موظف التحصيل يحتاج مشرفاً ","")&amp;IF(AND(O6&lt;&gt;"",P6=""),"• نوع الهدف بدون قيمة ",""))="","✔ مكتمل",IF(((B6="")+(C6="")+(D6="")+(E6="")+(F6="")+(H6="")+(I6="")+(J6="")+(M6="")+(Q6=""))&gt;0,"• حقول إلزامية ناقصة ","")&amp;IF(AND(D6&lt;&gt;"",COUNTIF($D$6:$D$205,D6)&gt;1),"• اسم المستخدم مكرر ","")&amp;IF(AND(D6&lt;&gt;"",ISNUMBER(SEARCH(" ",D6))),"• اسم المستخدم فيه مسافة ","")&amp;IF(AND(E6&lt;&gt;"",OR(ISERROR(SEARCH("@",E6)),ISERROR(SEARCH(".",E6)))),"• البريد غير صحيح ","")&amp;IF(AND(F6&lt;&gt;"",OR(LEN(F6)&lt;&gt;10,LEFT(F6,2)&lt;&gt;"05",ISERROR(--F6))),"• الجوال ليس بصيغة 05XXXXXXXX ","")&amp;IF(AND(L6&lt;&gt;"",OR(LEN(L6)&lt;2,LEN(L6)&gt;6,ISERROR(--L6),ISNUMBER(SEARCH(".",L6)))),"• التحويلة يجب أن تكون 2-6 أرقام ","")&amp;IF(AND(L6&lt;&gt;"",COUNTIF($L$6:$L$205,L6)&gt;1),"• التحويلة مكررة ","")&amp;IF(AND(M6="نعم",L6=""),"• يجري مكالمات بدون تحويلة ","")&amp;IF(AND(K6&lt;&gt;"",COUNTIF($D$6:$D$205,K6)=0),"• المشرف غير موجود في الجدول ","")&amp;IF(AND(J6="موظف تحصيل",K6=""),"• موظف التحصيل يحتاج مشرفاً ","")&amp;IF(AND(O6&lt;&gt;"",P6=""),"• نوع الهدف بدون قيمة ","")))</f>
        <v/>
      </c>
    </row>
    <row r="7">
      <c r="A7" s="17">
        <f>IF(COUNTA(B7:R7)=0,"",ROW()-5)</f>
        <v/>
      </c>
      <c r="B7" s="18" t="n"/>
      <c r="C7" s="18" t="n"/>
      <c r="D7" s="18" t="n"/>
      <c r="E7" s="18" t="n"/>
      <c r="F7" s="18" t="n"/>
      <c r="G7" s="18" t="n"/>
      <c r="H7" s="10" t="n"/>
      <c r="I7" s="10" t="n"/>
      <c r="J7" s="10" t="n"/>
      <c r="K7" s="10" t="n"/>
      <c r="L7" s="18" t="n"/>
      <c r="M7" s="10" t="n"/>
      <c r="N7" s="18" t="n"/>
      <c r="O7" s="10" t="n"/>
      <c r="P7" s="19" t="n"/>
      <c r="Q7" s="10" t="n"/>
      <c r="R7" s="18" t="n"/>
      <c r="S7" s="20">
        <f>IF(COUNTA(B7:R7)=0,"",IF((IF(((B7="")+(C7="")+(D7="")+(E7="")+(F7="")+(H7="")+(I7="")+(J7="")+(M7="")+(Q7=""))&gt;0,"• حقول إلزامية ناقصة ","")&amp;IF(AND(D7&lt;&gt;"",COUNTIF($D$6:$D$205,D7)&gt;1),"• اسم المستخدم مكرر ","")&amp;IF(AND(D7&lt;&gt;"",ISNUMBER(SEARCH(" ",D7))),"• اسم المستخدم فيه مسافة ","")&amp;IF(AND(E7&lt;&gt;"",OR(ISERROR(SEARCH("@",E7)),ISERROR(SEARCH(".",E7)))),"• البريد غير صحيح ","")&amp;IF(AND(F7&lt;&gt;"",OR(LEN(F7)&lt;&gt;10,LEFT(F7,2)&lt;&gt;"05",ISERROR(--F7))),"• الجوال ليس بصيغة 05XXXXXXXX ","")&amp;IF(AND(L7&lt;&gt;"",OR(LEN(L7)&lt;2,LEN(L7)&gt;6,ISERROR(--L7),ISNUMBER(SEARCH(".",L7)))),"• التحويلة يجب أن تكون 2-6 أرقام ","")&amp;IF(AND(L7&lt;&gt;"",COUNTIF($L$6:$L$205,L7)&gt;1),"• التحويلة مكررة ","")&amp;IF(AND(M7="نعم",L7=""),"• يجري مكالمات بدون تحويلة ","")&amp;IF(AND(K7&lt;&gt;"",COUNTIF($D$6:$D$205,K7)=0),"• المشرف غير موجود في الجدول ","")&amp;IF(AND(J7="موظف تحصيل",K7=""),"• موظف التحصيل يحتاج مشرفاً ","")&amp;IF(AND(O7&lt;&gt;"",P7=""),"• نوع الهدف بدون قيمة ",""))="","✔ مكتمل",IF(((B7="")+(C7="")+(D7="")+(E7="")+(F7="")+(H7="")+(I7="")+(J7="")+(M7="")+(Q7=""))&gt;0,"• حقول إلزامية ناقصة ","")&amp;IF(AND(D7&lt;&gt;"",COUNTIF($D$6:$D$205,D7)&gt;1),"• اسم المستخدم مكرر ","")&amp;IF(AND(D7&lt;&gt;"",ISNUMBER(SEARCH(" ",D7))),"• اسم المستخدم فيه مسافة ","")&amp;IF(AND(E7&lt;&gt;"",OR(ISERROR(SEARCH("@",E7)),ISERROR(SEARCH(".",E7)))),"• البريد غير صحيح ","")&amp;IF(AND(F7&lt;&gt;"",OR(LEN(F7)&lt;&gt;10,LEFT(F7,2)&lt;&gt;"05",ISERROR(--F7))),"• الجوال ليس بصيغة 05XXXXXXXX ","")&amp;IF(AND(L7&lt;&gt;"",OR(LEN(L7)&lt;2,LEN(L7)&gt;6,ISERROR(--L7),ISNUMBER(SEARCH(".",L7)))),"• التحويلة يجب أن تكون 2-6 أرقام ","")&amp;IF(AND(L7&lt;&gt;"",COUNTIF($L$6:$L$205,L7)&gt;1),"• التحويلة مكررة ","")&amp;IF(AND(M7="نعم",L7=""),"• يجري مكالمات بدون تحويلة ","")&amp;IF(AND(K7&lt;&gt;"",COUNTIF($D$6:$D$205,K7)=0),"• المشرف غير موجود في الجدول ","")&amp;IF(AND(J7="موظف تحصيل",K7=""),"• موظف التحصيل يحتاج مشرفاً ","")&amp;IF(AND(O7&lt;&gt;"",P7=""),"• نوع الهدف بدون قيمة ","")))</f>
        <v/>
      </c>
    </row>
    <row r="8">
      <c r="A8" s="17">
        <f>IF(COUNTA(B8:R8)=0,"",ROW()-5)</f>
        <v/>
      </c>
      <c r="B8" s="18" t="n"/>
      <c r="C8" s="18" t="n"/>
      <c r="D8" s="18" t="n"/>
      <c r="E8" s="18" t="n"/>
      <c r="F8" s="18" t="n"/>
      <c r="G8" s="18" t="n"/>
      <c r="H8" s="10" t="n"/>
      <c r="I8" s="10" t="n"/>
      <c r="J8" s="10" t="n"/>
      <c r="K8" s="10" t="n"/>
      <c r="L8" s="18" t="n"/>
      <c r="M8" s="10" t="n"/>
      <c r="N8" s="18" t="n"/>
      <c r="O8" s="10" t="n"/>
      <c r="P8" s="19" t="n"/>
      <c r="Q8" s="10" t="n"/>
      <c r="R8" s="18" t="n"/>
      <c r="S8" s="20">
        <f>IF(COUNTA(B8:R8)=0,"",IF((IF(((B8="")+(C8="")+(D8="")+(E8="")+(F8="")+(H8="")+(I8="")+(J8="")+(M8="")+(Q8=""))&gt;0,"• حقول إلزامية ناقصة ","")&amp;IF(AND(D8&lt;&gt;"",COUNTIF($D$6:$D$205,D8)&gt;1),"• اسم المستخدم مكرر ","")&amp;IF(AND(D8&lt;&gt;"",ISNUMBER(SEARCH(" ",D8))),"• اسم المستخدم فيه مسافة ","")&amp;IF(AND(E8&lt;&gt;"",OR(ISERROR(SEARCH("@",E8)),ISERROR(SEARCH(".",E8)))),"• البريد غير صحيح ","")&amp;IF(AND(F8&lt;&gt;"",OR(LEN(F8)&lt;&gt;10,LEFT(F8,2)&lt;&gt;"05",ISERROR(--F8))),"• الجوال ليس بصيغة 05XXXXXXXX ","")&amp;IF(AND(L8&lt;&gt;"",OR(LEN(L8)&lt;2,LEN(L8)&gt;6,ISERROR(--L8),ISNUMBER(SEARCH(".",L8)))),"• التحويلة يجب أن تكون 2-6 أرقام ","")&amp;IF(AND(L8&lt;&gt;"",COUNTIF($L$6:$L$205,L8)&gt;1),"• التحويلة مكررة ","")&amp;IF(AND(M8="نعم",L8=""),"• يجري مكالمات بدون تحويلة ","")&amp;IF(AND(K8&lt;&gt;"",COUNTIF($D$6:$D$205,K8)=0),"• المشرف غير موجود في الجدول ","")&amp;IF(AND(J8="موظف تحصيل",K8=""),"• موظف التحصيل يحتاج مشرفاً ","")&amp;IF(AND(O8&lt;&gt;"",P8=""),"• نوع الهدف بدون قيمة ",""))="","✔ مكتمل",IF(((B8="")+(C8="")+(D8="")+(E8="")+(F8="")+(H8="")+(I8="")+(J8="")+(M8="")+(Q8=""))&gt;0,"• حقول إلزامية ناقصة ","")&amp;IF(AND(D8&lt;&gt;"",COUNTIF($D$6:$D$205,D8)&gt;1),"• اسم المستخدم مكرر ","")&amp;IF(AND(D8&lt;&gt;"",ISNUMBER(SEARCH(" ",D8))),"• اسم المستخدم فيه مسافة ","")&amp;IF(AND(E8&lt;&gt;"",OR(ISERROR(SEARCH("@",E8)),ISERROR(SEARCH(".",E8)))),"• البريد غير صحيح ","")&amp;IF(AND(F8&lt;&gt;"",OR(LEN(F8)&lt;&gt;10,LEFT(F8,2)&lt;&gt;"05",ISERROR(--F8))),"• الجوال ليس بصيغة 05XXXXXXXX ","")&amp;IF(AND(L8&lt;&gt;"",OR(LEN(L8)&lt;2,LEN(L8)&gt;6,ISERROR(--L8),ISNUMBER(SEARCH(".",L8)))),"• التحويلة يجب أن تكون 2-6 أرقام ","")&amp;IF(AND(L8&lt;&gt;"",COUNTIF($L$6:$L$205,L8)&gt;1),"• التحويلة مكررة ","")&amp;IF(AND(M8="نعم",L8=""),"• يجري مكالمات بدون تحويلة ","")&amp;IF(AND(K8&lt;&gt;"",COUNTIF($D$6:$D$205,K8)=0),"• المشرف غير موجود في الجدول ","")&amp;IF(AND(J8="موظف تحصيل",K8=""),"• موظف التحصيل يحتاج مشرفاً ","")&amp;IF(AND(O8&lt;&gt;"",P8=""),"• نوع الهدف بدون قيمة ","")))</f>
        <v/>
      </c>
    </row>
    <row r="9">
      <c r="A9" s="17">
        <f>IF(COUNTA(B9:R9)=0,"",ROW()-5)</f>
        <v/>
      </c>
      <c r="B9" s="18" t="n"/>
      <c r="C9" s="18" t="n"/>
      <c r="D9" s="18" t="n"/>
      <c r="E9" s="18" t="n"/>
      <c r="F9" s="18" t="n"/>
      <c r="G9" s="18" t="n"/>
      <c r="H9" s="10" t="n"/>
      <c r="I9" s="10" t="n"/>
      <c r="J9" s="10" t="n"/>
      <c r="K9" s="10" t="n"/>
      <c r="L9" s="18" t="n"/>
      <c r="M9" s="10" t="n"/>
      <c r="N9" s="18" t="n"/>
      <c r="O9" s="10" t="n"/>
      <c r="P9" s="19" t="n"/>
      <c r="Q9" s="10" t="n"/>
      <c r="R9" s="18" t="n"/>
      <c r="S9" s="20">
        <f>IF(COUNTA(B9:R9)=0,"",IF((IF(((B9="")+(C9="")+(D9="")+(E9="")+(F9="")+(H9="")+(I9="")+(J9="")+(M9="")+(Q9=""))&gt;0,"• حقول إلزامية ناقصة ","")&amp;IF(AND(D9&lt;&gt;"",COUNTIF($D$6:$D$205,D9)&gt;1),"• اسم المستخدم مكرر ","")&amp;IF(AND(D9&lt;&gt;"",ISNUMBER(SEARCH(" ",D9))),"• اسم المستخدم فيه مسافة ","")&amp;IF(AND(E9&lt;&gt;"",OR(ISERROR(SEARCH("@",E9)),ISERROR(SEARCH(".",E9)))),"• البريد غير صحيح ","")&amp;IF(AND(F9&lt;&gt;"",OR(LEN(F9)&lt;&gt;10,LEFT(F9,2)&lt;&gt;"05",ISERROR(--F9))),"• الجوال ليس بصيغة 05XXXXXXXX ","")&amp;IF(AND(L9&lt;&gt;"",OR(LEN(L9)&lt;2,LEN(L9)&gt;6,ISERROR(--L9),ISNUMBER(SEARCH(".",L9)))),"• التحويلة يجب أن تكون 2-6 أرقام ","")&amp;IF(AND(L9&lt;&gt;"",COUNTIF($L$6:$L$205,L9)&gt;1),"• التحويلة مكررة ","")&amp;IF(AND(M9="نعم",L9=""),"• يجري مكالمات بدون تحويلة ","")&amp;IF(AND(K9&lt;&gt;"",COUNTIF($D$6:$D$205,K9)=0),"• المشرف غير موجود في الجدول ","")&amp;IF(AND(J9="موظف تحصيل",K9=""),"• موظف التحصيل يحتاج مشرفاً ","")&amp;IF(AND(O9&lt;&gt;"",P9=""),"• نوع الهدف بدون قيمة ",""))="","✔ مكتمل",IF(((B9="")+(C9="")+(D9="")+(E9="")+(F9="")+(H9="")+(I9="")+(J9="")+(M9="")+(Q9=""))&gt;0,"• حقول إلزامية ناقصة ","")&amp;IF(AND(D9&lt;&gt;"",COUNTIF($D$6:$D$205,D9)&gt;1),"• اسم المستخدم مكرر ","")&amp;IF(AND(D9&lt;&gt;"",ISNUMBER(SEARCH(" ",D9))),"• اسم المستخدم فيه مسافة ","")&amp;IF(AND(E9&lt;&gt;"",OR(ISERROR(SEARCH("@",E9)),ISERROR(SEARCH(".",E9)))),"• البريد غير صحيح ","")&amp;IF(AND(F9&lt;&gt;"",OR(LEN(F9)&lt;&gt;10,LEFT(F9,2)&lt;&gt;"05",ISERROR(--F9))),"• الجوال ليس بصيغة 05XXXXXXXX ","")&amp;IF(AND(L9&lt;&gt;"",OR(LEN(L9)&lt;2,LEN(L9)&gt;6,ISERROR(--L9),ISNUMBER(SEARCH(".",L9)))),"• التحويلة يجب أن تكون 2-6 أرقام ","")&amp;IF(AND(L9&lt;&gt;"",COUNTIF($L$6:$L$205,L9)&gt;1),"• التحويلة مكررة ","")&amp;IF(AND(M9="نعم",L9=""),"• يجري مكالمات بدون تحويلة ","")&amp;IF(AND(K9&lt;&gt;"",COUNTIF($D$6:$D$205,K9)=0),"• المشرف غير موجود في الجدول ","")&amp;IF(AND(J9="موظف تحصيل",K9=""),"• موظف التحصيل يحتاج مشرفاً ","")&amp;IF(AND(O9&lt;&gt;"",P9=""),"• نوع الهدف بدون قيمة ","")))</f>
        <v/>
      </c>
    </row>
    <row r="10">
      <c r="A10" s="17">
        <f>IF(COUNTA(B10:R10)=0,"",ROW()-5)</f>
        <v/>
      </c>
      <c r="B10" s="18" t="n"/>
      <c r="C10" s="18" t="n"/>
      <c r="D10" s="18" t="n"/>
      <c r="E10" s="18" t="n"/>
      <c r="F10" s="18" t="n"/>
      <c r="G10" s="18" t="n"/>
      <c r="H10" s="10" t="n"/>
      <c r="I10" s="10" t="n"/>
      <c r="J10" s="10" t="n"/>
      <c r="K10" s="10" t="n"/>
      <c r="L10" s="18" t="n"/>
      <c r="M10" s="10" t="n"/>
      <c r="N10" s="18" t="n"/>
      <c r="O10" s="10" t="n"/>
      <c r="P10" s="19" t="n"/>
      <c r="Q10" s="10" t="n"/>
      <c r="R10" s="18" t="n"/>
      <c r="S10" s="20">
        <f>IF(COUNTA(B10:R10)=0,"",IF((IF(((B10="")+(C10="")+(D10="")+(E10="")+(F10="")+(H10="")+(I10="")+(J10="")+(M10="")+(Q10=""))&gt;0,"• حقول إلزامية ناقصة ","")&amp;IF(AND(D10&lt;&gt;"",COUNTIF($D$6:$D$205,D10)&gt;1),"• اسم المستخدم مكرر ","")&amp;IF(AND(D10&lt;&gt;"",ISNUMBER(SEARCH(" ",D10))),"• اسم المستخدم فيه مسافة ","")&amp;IF(AND(E10&lt;&gt;"",OR(ISERROR(SEARCH("@",E10)),ISERROR(SEARCH(".",E10)))),"• البريد غير صحيح ","")&amp;IF(AND(F10&lt;&gt;"",OR(LEN(F10)&lt;&gt;10,LEFT(F10,2)&lt;&gt;"05",ISERROR(--F10))),"• الجوال ليس بصيغة 05XXXXXXXX ","")&amp;IF(AND(L10&lt;&gt;"",OR(LEN(L10)&lt;2,LEN(L10)&gt;6,ISERROR(--L10),ISNUMBER(SEARCH(".",L10)))),"• التحويلة يجب أن تكون 2-6 أرقام ","")&amp;IF(AND(L10&lt;&gt;"",COUNTIF($L$6:$L$205,L10)&gt;1),"• التحويلة مكررة ","")&amp;IF(AND(M10="نعم",L10=""),"• يجري مكالمات بدون تحويلة ","")&amp;IF(AND(K10&lt;&gt;"",COUNTIF($D$6:$D$205,K10)=0),"• المشرف غير موجود في الجدول ","")&amp;IF(AND(J10="موظف تحصيل",K10=""),"• موظف التحصيل يحتاج مشرفاً ","")&amp;IF(AND(O10&lt;&gt;"",P10=""),"• نوع الهدف بدون قيمة ",""))="","✔ مكتمل",IF(((B10="")+(C10="")+(D10="")+(E10="")+(F10="")+(H10="")+(I10="")+(J10="")+(M10="")+(Q10=""))&gt;0,"• حقول إلزامية ناقصة ","")&amp;IF(AND(D10&lt;&gt;"",COUNTIF($D$6:$D$205,D10)&gt;1),"• اسم المستخدم مكرر ","")&amp;IF(AND(D10&lt;&gt;"",ISNUMBER(SEARCH(" ",D10))),"• اسم المستخدم فيه مسافة ","")&amp;IF(AND(E10&lt;&gt;"",OR(ISERROR(SEARCH("@",E10)),ISERROR(SEARCH(".",E10)))),"• البريد غير صحيح ","")&amp;IF(AND(F10&lt;&gt;"",OR(LEN(F10)&lt;&gt;10,LEFT(F10,2)&lt;&gt;"05",ISERROR(--F10))),"• الجوال ليس بصيغة 05XXXXXXXX ","")&amp;IF(AND(L10&lt;&gt;"",OR(LEN(L10)&lt;2,LEN(L10)&gt;6,ISERROR(--L10),ISNUMBER(SEARCH(".",L10)))),"• التحويلة يجب أن تكون 2-6 أرقام ","")&amp;IF(AND(L10&lt;&gt;"",COUNTIF($L$6:$L$205,L10)&gt;1),"• التحويلة مكررة ","")&amp;IF(AND(M10="نعم",L10=""),"• يجري مكالمات بدون تحويلة ","")&amp;IF(AND(K10&lt;&gt;"",COUNTIF($D$6:$D$205,K10)=0),"• المشرف غير موجود في الجدول ","")&amp;IF(AND(J10="موظف تحصيل",K10=""),"• موظف التحصيل يحتاج مشرفاً ","")&amp;IF(AND(O10&lt;&gt;"",P10=""),"• نوع الهدف بدون قيمة ","")))</f>
        <v/>
      </c>
    </row>
    <row r="11">
      <c r="A11" s="17">
        <f>IF(COUNTA(B11:R11)=0,"",ROW()-5)</f>
        <v/>
      </c>
      <c r="B11" s="18" t="n"/>
      <c r="C11" s="18" t="n"/>
      <c r="D11" s="18" t="n"/>
      <c r="E11" s="18" t="n"/>
      <c r="F11" s="18" t="n"/>
      <c r="G11" s="18" t="n"/>
      <c r="H11" s="10" t="n"/>
      <c r="I11" s="10" t="n"/>
      <c r="J11" s="10" t="n"/>
      <c r="K11" s="10" t="n"/>
      <c r="L11" s="18" t="n"/>
      <c r="M11" s="10" t="n"/>
      <c r="N11" s="18" t="n"/>
      <c r="O11" s="10" t="n"/>
      <c r="P11" s="19" t="n"/>
      <c r="Q11" s="10" t="n"/>
      <c r="R11" s="18" t="n"/>
      <c r="S11" s="20">
        <f>IF(COUNTA(B11:R11)=0,"",IF((IF(((B11="")+(C11="")+(D11="")+(E11="")+(F11="")+(H11="")+(I11="")+(J11="")+(M11="")+(Q11=""))&gt;0,"• حقول إلزامية ناقصة ","")&amp;IF(AND(D11&lt;&gt;"",COUNTIF($D$6:$D$205,D11)&gt;1),"• اسم المستخدم مكرر ","")&amp;IF(AND(D11&lt;&gt;"",ISNUMBER(SEARCH(" ",D11))),"• اسم المستخدم فيه مسافة ","")&amp;IF(AND(E11&lt;&gt;"",OR(ISERROR(SEARCH("@",E11)),ISERROR(SEARCH(".",E11)))),"• البريد غير صحيح ","")&amp;IF(AND(F11&lt;&gt;"",OR(LEN(F11)&lt;&gt;10,LEFT(F11,2)&lt;&gt;"05",ISERROR(--F11))),"• الجوال ليس بصيغة 05XXXXXXXX ","")&amp;IF(AND(L11&lt;&gt;"",OR(LEN(L11)&lt;2,LEN(L11)&gt;6,ISERROR(--L11),ISNUMBER(SEARCH(".",L11)))),"• التحويلة يجب أن تكون 2-6 أرقام ","")&amp;IF(AND(L11&lt;&gt;"",COUNTIF($L$6:$L$205,L11)&gt;1),"• التحويلة مكررة ","")&amp;IF(AND(M11="نعم",L11=""),"• يجري مكالمات بدون تحويلة ","")&amp;IF(AND(K11&lt;&gt;"",COUNTIF($D$6:$D$205,K11)=0),"• المشرف غير موجود في الجدول ","")&amp;IF(AND(J11="موظف تحصيل",K11=""),"• موظف التحصيل يحتاج مشرفاً ","")&amp;IF(AND(O11&lt;&gt;"",P11=""),"• نوع الهدف بدون قيمة ",""))="","✔ مكتمل",IF(((B11="")+(C11="")+(D11="")+(E11="")+(F11="")+(H11="")+(I11="")+(J11="")+(M11="")+(Q11=""))&gt;0,"• حقول إلزامية ناقصة ","")&amp;IF(AND(D11&lt;&gt;"",COUNTIF($D$6:$D$205,D11)&gt;1),"• اسم المستخدم مكرر ","")&amp;IF(AND(D11&lt;&gt;"",ISNUMBER(SEARCH(" ",D11))),"• اسم المستخدم فيه مسافة ","")&amp;IF(AND(E11&lt;&gt;"",OR(ISERROR(SEARCH("@",E11)),ISERROR(SEARCH(".",E11)))),"• البريد غير صحيح ","")&amp;IF(AND(F11&lt;&gt;"",OR(LEN(F11)&lt;&gt;10,LEFT(F11,2)&lt;&gt;"05",ISERROR(--F11))),"• الجوال ليس بصيغة 05XXXXXXXX ","")&amp;IF(AND(L11&lt;&gt;"",OR(LEN(L11)&lt;2,LEN(L11)&gt;6,ISERROR(--L11),ISNUMBER(SEARCH(".",L11)))),"• التحويلة يجب أن تكون 2-6 أرقام ","")&amp;IF(AND(L11&lt;&gt;"",COUNTIF($L$6:$L$205,L11)&gt;1),"• التحويلة مكررة ","")&amp;IF(AND(M11="نعم",L11=""),"• يجري مكالمات بدون تحويلة ","")&amp;IF(AND(K11&lt;&gt;"",COUNTIF($D$6:$D$205,K11)=0),"• المشرف غير موجود في الجدول ","")&amp;IF(AND(J11="موظف تحصيل",K11=""),"• موظف التحصيل يحتاج مشرفاً ","")&amp;IF(AND(O11&lt;&gt;"",P11=""),"• نوع الهدف بدون قيمة ","")))</f>
        <v/>
      </c>
    </row>
    <row r="12">
      <c r="A12" s="17">
        <f>IF(COUNTA(B12:R12)=0,"",ROW()-5)</f>
        <v/>
      </c>
      <c r="B12" s="18" t="n"/>
      <c r="C12" s="18" t="n"/>
      <c r="D12" s="18" t="n"/>
      <c r="E12" s="18" t="n"/>
      <c r="F12" s="18" t="n"/>
      <c r="G12" s="18" t="n"/>
      <c r="H12" s="10" t="n"/>
      <c r="I12" s="10" t="n"/>
      <c r="J12" s="10" t="n"/>
      <c r="K12" s="10" t="n"/>
      <c r="L12" s="18" t="n"/>
      <c r="M12" s="10" t="n"/>
      <c r="N12" s="18" t="n"/>
      <c r="O12" s="10" t="n"/>
      <c r="P12" s="19" t="n"/>
      <c r="Q12" s="10" t="n"/>
      <c r="R12" s="18" t="n"/>
      <c r="S12" s="20">
        <f>IF(COUNTA(B12:R12)=0,"",IF((IF(((B12="")+(C12="")+(D12="")+(E12="")+(F12="")+(H12="")+(I12="")+(J12="")+(M12="")+(Q12=""))&gt;0,"• حقول إلزامية ناقصة ","")&amp;IF(AND(D12&lt;&gt;"",COUNTIF($D$6:$D$205,D12)&gt;1),"• اسم المستخدم مكرر ","")&amp;IF(AND(D12&lt;&gt;"",ISNUMBER(SEARCH(" ",D12))),"• اسم المستخدم فيه مسافة ","")&amp;IF(AND(E12&lt;&gt;"",OR(ISERROR(SEARCH("@",E12)),ISERROR(SEARCH(".",E12)))),"• البريد غير صحيح ","")&amp;IF(AND(F12&lt;&gt;"",OR(LEN(F12)&lt;&gt;10,LEFT(F12,2)&lt;&gt;"05",ISERROR(--F12))),"• الجوال ليس بصيغة 05XXXXXXXX ","")&amp;IF(AND(L12&lt;&gt;"",OR(LEN(L12)&lt;2,LEN(L12)&gt;6,ISERROR(--L12),ISNUMBER(SEARCH(".",L12)))),"• التحويلة يجب أن تكون 2-6 أرقام ","")&amp;IF(AND(L12&lt;&gt;"",COUNTIF($L$6:$L$205,L12)&gt;1),"• التحويلة مكررة ","")&amp;IF(AND(M12="نعم",L12=""),"• يجري مكالمات بدون تحويلة ","")&amp;IF(AND(K12&lt;&gt;"",COUNTIF($D$6:$D$205,K12)=0),"• المشرف غير موجود في الجدول ","")&amp;IF(AND(J12="موظف تحصيل",K12=""),"• موظف التحصيل يحتاج مشرفاً ","")&amp;IF(AND(O12&lt;&gt;"",P12=""),"• نوع الهدف بدون قيمة ",""))="","✔ مكتمل",IF(((B12="")+(C12="")+(D12="")+(E12="")+(F12="")+(H12="")+(I12="")+(J12="")+(M12="")+(Q12=""))&gt;0,"• حقول إلزامية ناقصة ","")&amp;IF(AND(D12&lt;&gt;"",COUNTIF($D$6:$D$205,D12)&gt;1),"• اسم المستخدم مكرر ","")&amp;IF(AND(D12&lt;&gt;"",ISNUMBER(SEARCH(" ",D12))),"• اسم المستخدم فيه مسافة ","")&amp;IF(AND(E12&lt;&gt;"",OR(ISERROR(SEARCH("@",E12)),ISERROR(SEARCH(".",E12)))),"• البريد غير صحيح ","")&amp;IF(AND(F12&lt;&gt;"",OR(LEN(F12)&lt;&gt;10,LEFT(F12,2)&lt;&gt;"05",ISERROR(--F12))),"• الجوال ليس بصيغة 05XXXXXXXX ","")&amp;IF(AND(L12&lt;&gt;"",OR(LEN(L12)&lt;2,LEN(L12)&gt;6,ISERROR(--L12),ISNUMBER(SEARCH(".",L12)))),"• التحويلة يجب أن تكون 2-6 أرقام ","")&amp;IF(AND(L12&lt;&gt;"",COUNTIF($L$6:$L$205,L12)&gt;1),"• التحويلة مكررة ","")&amp;IF(AND(M12="نعم",L12=""),"• يجري مكالمات بدون تحويلة ","")&amp;IF(AND(K12&lt;&gt;"",COUNTIF($D$6:$D$205,K12)=0),"• المشرف غير موجود في الجدول ","")&amp;IF(AND(J12="موظف تحصيل",K12=""),"• موظف التحصيل يحتاج مشرفاً ","")&amp;IF(AND(O12&lt;&gt;"",P12=""),"• نوع الهدف بدون قيمة ","")))</f>
        <v/>
      </c>
    </row>
    <row r="13">
      <c r="A13" s="17">
        <f>IF(COUNTA(B13:R13)=0,"",ROW()-5)</f>
        <v/>
      </c>
      <c r="B13" s="18" t="n"/>
      <c r="C13" s="18" t="n"/>
      <c r="D13" s="18" t="n"/>
      <c r="E13" s="18" t="n"/>
      <c r="F13" s="18" t="n"/>
      <c r="G13" s="18" t="n"/>
      <c r="H13" s="10" t="n"/>
      <c r="I13" s="10" t="n"/>
      <c r="J13" s="10" t="n"/>
      <c r="K13" s="10" t="n"/>
      <c r="L13" s="18" t="n"/>
      <c r="M13" s="10" t="n"/>
      <c r="N13" s="18" t="n"/>
      <c r="O13" s="10" t="n"/>
      <c r="P13" s="19" t="n"/>
      <c r="Q13" s="10" t="n"/>
      <c r="R13" s="18" t="n"/>
      <c r="S13" s="20">
        <f>IF(COUNTA(B13:R13)=0,"",IF((IF(((B13="")+(C13="")+(D13="")+(E13="")+(F13="")+(H13="")+(I13="")+(J13="")+(M13="")+(Q13=""))&gt;0,"• حقول إلزامية ناقصة ","")&amp;IF(AND(D13&lt;&gt;"",COUNTIF($D$6:$D$205,D13)&gt;1),"• اسم المستخدم مكرر ","")&amp;IF(AND(D13&lt;&gt;"",ISNUMBER(SEARCH(" ",D13))),"• اسم المستخدم فيه مسافة ","")&amp;IF(AND(E13&lt;&gt;"",OR(ISERROR(SEARCH("@",E13)),ISERROR(SEARCH(".",E13)))),"• البريد غير صحيح ","")&amp;IF(AND(F13&lt;&gt;"",OR(LEN(F13)&lt;&gt;10,LEFT(F13,2)&lt;&gt;"05",ISERROR(--F13))),"• الجوال ليس بصيغة 05XXXXXXXX ","")&amp;IF(AND(L13&lt;&gt;"",OR(LEN(L13)&lt;2,LEN(L13)&gt;6,ISERROR(--L13),ISNUMBER(SEARCH(".",L13)))),"• التحويلة يجب أن تكون 2-6 أرقام ","")&amp;IF(AND(L13&lt;&gt;"",COUNTIF($L$6:$L$205,L13)&gt;1),"• التحويلة مكررة ","")&amp;IF(AND(M13="نعم",L13=""),"• يجري مكالمات بدون تحويلة ","")&amp;IF(AND(K13&lt;&gt;"",COUNTIF($D$6:$D$205,K13)=0),"• المشرف غير موجود في الجدول ","")&amp;IF(AND(J13="موظف تحصيل",K13=""),"• موظف التحصيل يحتاج مشرفاً ","")&amp;IF(AND(O13&lt;&gt;"",P13=""),"• نوع الهدف بدون قيمة ",""))="","✔ مكتمل",IF(((B13="")+(C13="")+(D13="")+(E13="")+(F13="")+(H13="")+(I13="")+(J13="")+(M13="")+(Q13=""))&gt;0,"• حقول إلزامية ناقصة ","")&amp;IF(AND(D13&lt;&gt;"",COUNTIF($D$6:$D$205,D13)&gt;1),"• اسم المستخدم مكرر ","")&amp;IF(AND(D13&lt;&gt;"",ISNUMBER(SEARCH(" ",D13))),"• اسم المستخدم فيه مسافة ","")&amp;IF(AND(E13&lt;&gt;"",OR(ISERROR(SEARCH("@",E13)),ISERROR(SEARCH(".",E13)))),"• البريد غير صحيح ","")&amp;IF(AND(F13&lt;&gt;"",OR(LEN(F13)&lt;&gt;10,LEFT(F13,2)&lt;&gt;"05",ISERROR(--F13))),"• الجوال ليس بصيغة 05XXXXXXXX ","")&amp;IF(AND(L13&lt;&gt;"",OR(LEN(L13)&lt;2,LEN(L13)&gt;6,ISERROR(--L13),ISNUMBER(SEARCH(".",L13)))),"• التحويلة يجب أن تكون 2-6 أرقام ","")&amp;IF(AND(L13&lt;&gt;"",COUNTIF($L$6:$L$205,L13)&gt;1),"• التحويلة مكررة ","")&amp;IF(AND(M13="نعم",L13=""),"• يجري مكالمات بدون تحويلة ","")&amp;IF(AND(K13&lt;&gt;"",COUNTIF($D$6:$D$205,K13)=0),"• المشرف غير موجود في الجدول ","")&amp;IF(AND(J13="موظف تحصيل",K13=""),"• موظف التحصيل يحتاج مشرفاً ","")&amp;IF(AND(O13&lt;&gt;"",P13=""),"• نوع الهدف بدون قيمة ","")))</f>
        <v/>
      </c>
    </row>
    <row r="14">
      <c r="A14" s="17">
        <f>IF(COUNTA(B14:R14)=0,"",ROW()-5)</f>
        <v/>
      </c>
      <c r="B14" s="18" t="n"/>
      <c r="C14" s="18" t="n"/>
      <c r="D14" s="18" t="n"/>
      <c r="E14" s="18" t="n"/>
      <c r="F14" s="18" t="n"/>
      <c r="G14" s="18" t="n"/>
      <c r="H14" s="10" t="n"/>
      <c r="I14" s="10" t="n"/>
      <c r="J14" s="10" t="n"/>
      <c r="K14" s="10" t="n"/>
      <c r="L14" s="18" t="n"/>
      <c r="M14" s="10" t="n"/>
      <c r="N14" s="18" t="n"/>
      <c r="O14" s="10" t="n"/>
      <c r="P14" s="19" t="n"/>
      <c r="Q14" s="10" t="n"/>
      <c r="R14" s="18" t="n"/>
      <c r="S14" s="20">
        <f>IF(COUNTA(B14:R14)=0,"",IF((IF(((B14="")+(C14="")+(D14="")+(E14="")+(F14="")+(H14="")+(I14="")+(J14="")+(M14="")+(Q14=""))&gt;0,"• حقول إلزامية ناقصة ","")&amp;IF(AND(D14&lt;&gt;"",COUNTIF($D$6:$D$205,D14)&gt;1),"• اسم المستخدم مكرر ","")&amp;IF(AND(D14&lt;&gt;"",ISNUMBER(SEARCH(" ",D14))),"• اسم المستخدم فيه مسافة ","")&amp;IF(AND(E14&lt;&gt;"",OR(ISERROR(SEARCH("@",E14)),ISERROR(SEARCH(".",E14)))),"• البريد غير صحيح ","")&amp;IF(AND(F14&lt;&gt;"",OR(LEN(F14)&lt;&gt;10,LEFT(F14,2)&lt;&gt;"05",ISERROR(--F14))),"• الجوال ليس بصيغة 05XXXXXXXX ","")&amp;IF(AND(L14&lt;&gt;"",OR(LEN(L14)&lt;2,LEN(L14)&gt;6,ISERROR(--L14),ISNUMBER(SEARCH(".",L14)))),"• التحويلة يجب أن تكون 2-6 أرقام ","")&amp;IF(AND(L14&lt;&gt;"",COUNTIF($L$6:$L$205,L14)&gt;1),"• التحويلة مكررة ","")&amp;IF(AND(M14="نعم",L14=""),"• يجري مكالمات بدون تحويلة ","")&amp;IF(AND(K14&lt;&gt;"",COUNTIF($D$6:$D$205,K14)=0),"• المشرف غير موجود في الجدول ","")&amp;IF(AND(J14="موظف تحصيل",K14=""),"• موظف التحصيل يحتاج مشرفاً ","")&amp;IF(AND(O14&lt;&gt;"",P14=""),"• نوع الهدف بدون قيمة ",""))="","✔ مكتمل",IF(((B14="")+(C14="")+(D14="")+(E14="")+(F14="")+(H14="")+(I14="")+(J14="")+(M14="")+(Q14=""))&gt;0,"• حقول إلزامية ناقصة ","")&amp;IF(AND(D14&lt;&gt;"",COUNTIF($D$6:$D$205,D14)&gt;1),"• اسم المستخدم مكرر ","")&amp;IF(AND(D14&lt;&gt;"",ISNUMBER(SEARCH(" ",D14))),"• اسم المستخدم فيه مسافة ","")&amp;IF(AND(E14&lt;&gt;"",OR(ISERROR(SEARCH("@",E14)),ISERROR(SEARCH(".",E14)))),"• البريد غير صحيح ","")&amp;IF(AND(F14&lt;&gt;"",OR(LEN(F14)&lt;&gt;10,LEFT(F14,2)&lt;&gt;"05",ISERROR(--F14))),"• الجوال ليس بصيغة 05XXXXXXXX ","")&amp;IF(AND(L14&lt;&gt;"",OR(LEN(L14)&lt;2,LEN(L14)&gt;6,ISERROR(--L14),ISNUMBER(SEARCH(".",L14)))),"• التحويلة يجب أن تكون 2-6 أرقام ","")&amp;IF(AND(L14&lt;&gt;"",COUNTIF($L$6:$L$205,L14)&gt;1),"• التحويلة مكررة ","")&amp;IF(AND(M14="نعم",L14=""),"• يجري مكالمات بدون تحويلة ","")&amp;IF(AND(K14&lt;&gt;"",COUNTIF($D$6:$D$205,K14)=0),"• المشرف غير موجود في الجدول ","")&amp;IF(AND(J14="موظف تحصيل",K14=""),"• موظف التحصيل يحتاج مشرفاً ","")&amp;IF(AND(O14&lt;&gt;"",P14=""),"• نوع الهدف بدون قيمة ","")))</f>
        <v/>
      </c>
    </row>
    <row r="15">
      <c r="A15" s="17">
        <f>IF(COUNTA(B15:R15)=0,"",ROW()-5)</f>
        <v/>
      </c>
      <c r="B15" s="18" t="n"/>
      <c r="C15" s="18" t="n"/>
      <c r="D15" s="18" t="n"/>
      <c r="E15" s="18" t="n"/>
      <c r="F15" s="18" t="n"/>
      <c r="G15" s="18" t="n"/>
      <c r="H15" s="10" t="n"/>
      <c r="I15" s="10" t="n"/>
      <c r="J15" s="10" t="n"/>
      <c r="K15" s="10" t="n"/>
      <c r="L15" s="18" t="n"/>
      <c r="M15" s="10" t="n"/>
      <c r="N15" s="18" t="n"/>
      <c r="O15" s="10" t="n"/>
      <c r="P15" s="19" t="n"/>
      <c r="Q15" s="10" t="n"/>
      <c r="R15" s="18" t="n"/>
      <c r="S15" s="20">
        <f>IF(COUNTA(B15:R15)=0,"",IF((IF(((B15="")+(C15="")+(D15="")+(E15="")+(F15="")+(H15="")+(I15="")+(J15="")+(M15="")+(Q15=""))&gt;0,"• حقول إلزامية ناقصة ","")&amp;IF(AND(D15&lt;&gt;"",COUNTIF($D$6:$D$205,D15)&gt;1),"• اسم المستخدم مكرر ","")&amp;IF(AND(D15&lt;&gt;"",ISNUMBER(SEARCH(" ",D15))),"• اسم المستخدم فيه مسافة ","")&amp;IF(AND(E15&lt;&gt;"",OR(ISERROR(SEARCH("@",E15)),ISERROR(SEARCH(".",E15)))),"• البريد غير صحيح ","")&amp;IF(AND(F15&lt;&gt;"",OR(LEN(F15)&lt;&gt;10,LEFT(F15,2)&lt;&gt;"05",ISERROR(--F15))),"• الجوال ليس بصيغة 05XXXXXXXX ","")&amp;IF(AND(L15&lt;&gt;"",OR(LEN(L15)&lt;2,LEN(L15)&gt;6,ISERROR(--L15),ISNUMBER(SEARCH(".",L15)))),"• التحويلة يجب أن تكون 2-6 أرقام ","")&amp;IF(AND(L15&lt;&gt;"",COUNTIF($L$6:$L$205,L15)&gt;1),"• التحويلة مكررة ","")&amp;IF(AND(M15="نعم",L15=""),"• يجري مكالمات بدون تحويلة ","")&amp;IF(AND(K15&lt;&gt;"",COUNTIF($D$6:$D$205,K15)=0),"• المشرف غير موجود في الجدول ","")&amp;IF(AND(J15="موظف تحصيل",K15=""),"• موظف التحصيل يحتاج مشرفاً ","")&amp;IF(AND(O15&lt;&gt;"",P15=""),"• نوع الهدف بدون قيمة ",""))="","✔ مكتمل",IF(((B15="")+(C15="")+(D15="")+(E15="")+(F15="")+(H15="")+(I15="")+(J15="")+(M15="")+(Q15=""))&gt;0,"• حقول إلزامية ناقصة ","")&amp;IF(AND(D15&lt;&gt;"",COUNTIF($D$6:$D$205,D15)&gt;1),"• اسم المستخدم مكرر ","")&amp;IF(AND(D15&lt;&gt;"",ISNUMBER(SEARCH(" ",D15))),"• اسم المستخدم فيه مسافة ","")&amp;IF(AND(E15&lt;&gt;"",OR(ISERROR(SEARCH("@",E15)),ISERROR(SEARCH(".",E15)))),"• البريد غير صحيح ","")&amp;IF(AND(F15&lt;&gt;"",OR(LEN(F15)&lt;&gt;10,LEFT(F15,2)&lt;&gt;"05",ISERROR(--F15))),"• الجوال ليس بصيغة 05XXXXXXXX ","")&amp;IF(AND(L15&lt;&gt;"",OR(LEN(L15)&lt;2,LEN(L15)&gt;6,ISERROR(--L15),ISNUMBER(SEARCH(".",L15)))),"• التحويلة يجب أن تكون 2-6 أرقام ","")&amp;IF(AND(L15&lt;&gt;"",COUNTIF($L$6:$L$205,L15)&gt;1),"• التحويلة مكررة ","")&amp;IF(AND(M15="نعم",L15=""),"• يجري مكالمات بدون تحويلة ","")&amp;IF(AND(K15&lt;&gt;"",COUNTIF($D$6:$D$205,K15)=0),"• المشرف غير موجود في الجدول ","")&amp;IF(AND(J15="موظف تحصيل",K15=""),"• موظف التحصيل يحتاج مشرفاً ","")&amp;IF(AND(O15&lt;&gt;"",P15=""),"• نوع الهدف بدون قيمة ","")))</f>
        <v/>
      </c>
    </row>
    <row r="16">
      <c r="A16" s="17">
        <f>IF(COUNTA(B16:R16)=0,"",ROW()-5)</f>
        <v/>
      </c>
      <c r="B16" s="18" t="n"/>
      <c r="C16" s="18" t="n"/>
      <c r="D16" s="18" t="n"/>
      <c r="E16" s="18" t="n"/>
      <c r="F16" s="18" t="n"/>
      <c r="G16" s="18" t="n"/>
      <c r="H16" s="10" t="n"/>
      <c r="I16" s="10" t="n"/>
      <c r="J16" s="10" t="n"/>
      <c r="K16" s="10" t="n"/>
      <c r="L16" s="18" t="n"/>
      <c r="M16" s="10" t="n"/>
      <c r="N16" s="18" t="n"/>
      <c r="O16" s="10" t="n"/>
      <c r="P16" s="19" t="n"/>
      <c r="Q16" s="10" t="n"/>
      <c r="R16" s="18" t="n"/>
      <c r="S16" s="20">
        <f>IF(COUNTA(B16:R16)=0,"",IF((IF(((B16="")+(C16="")+(D16="")+(E16="")+(F16="")+(H16="")+(I16="")+(J16="")+(M16="")+(Q16=""))&gt;0,"• حقول إلزامية ناقصة ","")&amp;IF(AND(D16&lt;&gt;"",COUNTIF($D$6:$D$205,D16)&gt;1),"• اسم المستخدم مكرر ","")&amp;IF(AND(D16&lt;&gt;"",ISNUMBER(SEARCH(" ",D16))),"• اسم المستخدم فيه مسافة ","")&amp;IF(AND(E16&lt;&gt;"",OR(ISERROR(SEARCH("@",E16)),ISERROR(SEARCH(".",E16)))),"• البريد غير صحيح ","")&amp;IF(AND(F16&lt;&gt;"",OR(LEN(F16)&lt;&gt;10,LEFT(F16,2)&lt;&gt;"05",ISERROR(--F16))),"• الجوال ليس بصيغة 05XXXXXXXX ","")&amp;IF(AND(L16&lt;&gt;"",OR(LEN(L16)&lt;2,LEN(L16)&gt;6,ISERROR(--L16),ISNUMBER(SEARCH(".",L16)))),"• التحويلة يجب أن تكون 2-6 أرقام ","")&amp;IF(AND(L16&lt;&gt;"",COUNTIF($L$6:$L$205,L16)&gt;1),"• التحويلة مكررة ","")&amp;IF(AND(M16="نعم",L16=""),"• يجري مكالمات بدون تحويلة ","")&amp;IF(AND(K16&lt;&gt;"",COUNTIF($D$6:$D$205,K16)=0),"• المشرف غير موجود في الجدول ","")&amp;IF(AND(J16="موظف تحصيل",K16=""),"• موظف التحصيل يحتاج مشرفاً ","")&amp;IF(AND(O16&lt;&gt;"",P16=""),"• نوع الهدف بدون قيمة ",""))="","✔ مكتمل",IF(((B16="")+(C16="")+(D16="")+(E16="")+(F16="")+(H16="")+(I16="")+(J16="")+(M16="")+(Q16=""))&gt;0,"• حقول إلزامية ناقصة ","")&amp;IF(AND(D16&lt;&gt;"",COUNTIF($D$6:$D$205,D16)&gt;1),"• اسم المستخدم مكرر ","")&amp;IF(AND(D16&lt;&gt;"",ISNUMBER(SEARCH(" ",D16))),"• اسم المستخدم فيه مسافة ","")&amp;IF(AND(E16&lt;&gt;"",OR(ISERROR(SEARCH("@",E16)),ISERROR(SEARCH(".",E16)))),"• البريد غير صحيح ","")&amp;IF(AND(F16&lt;&gt;"",OR(LEN(F16)&lt;&gt;10,LEFT(F16,2)&lt;&gt;"05",ISERROR(--F16))),"• الجوال ليس بصيغة 05XXXXXXXX ","")&amp;IF(AND(L16&lt;&gt;"",OR(LEN(L16)&lt;2,LEN(L16)&gt;6,ISERROR(--L16),ISNUMBER(SEARCH(".",L16)))),"• التحويلة يجب أن تكون 2-6 أرقام ","")&amp;IF(AND(L16&lt;&gt;"",COUNTIF($L$6:$L$205,L16)&gt;1),"• التحويلة مكررة ","")&amp;IF(AND(M16="نعم",L16=""),"• يجري مكالمات بدون تحويلة ","")&amp;IF(AND(K16&lt;&gt;"",COUNTIF($D$6:$D$205,K16)=0),"• المشرف غير موجود في الجدول ","")&amp;IF(AND(J16="موظف تحصيل",K16=""),"• موظف التحصيل يحتاج مشرفاً ","")&amp;IF(AND(O16&lt;&gt;"",P16=""),"• نوع الهدف بدون قيمة ","")))</f>
        <v/>
      </c>
    </row>
    <row r="17">
      <c r="A17" s="17">
        <f>IF(COUNTA(B17:R17)=0,"",ROW()-5)</f>
        <v/>
      </c>
      <c r="B17" s="18" t="n"/>
      <c r="C17" s="18" t="n"/>
      <c r="D17" s="18" t="n"/>
      <c r="E17" s="18" t="n"/>
      <c r="F17" s="18" t="n"/>
      <c r="G17" s="18" t="n"/>
      <c r="H17" s="10" t="n"/>
      <c r="I17" s="10" t="n"/>
      <c r="J17" s="10" t="n"/>
      <c r="K17" s="10" t="n"/>
      <c r="L17" s="18" t="n"/>
      <c r="M17" s="10" t="n"/>
      <c r="N17" s="18" t="n"/>
      <c r="O17" s="10" t="n"/>
      <c r="P17" s="19" t="n"/>
      <c r="Q17" s="10" t="n"/>
      <c r="R17" s="18" t="n"/>
      <c r="S17" s="20">
        <f>IF(COUNTA(B17:R17)=0,"",IF((IF(((B17="")+(C17="")+(D17="")+(E17="")+(F17="")+(H17="")+(I17="")+(J17="")+(M17="")+(Q17=""))&gt;0,"• حقول إلزامية ناقصة ","")&amp;IF(AND(D17&lt;&gt;"",COUNTIF($D$6:$D$205,D17)&gt;1),"• اسم المستخدم مكرر ","")&amp;IF(AND(D17&lt;&gt;"",ISNUMBER(SEARCH(" ",D17))),"• اسم المستخدم فيه مسافة ","")&amp;IF(AND(E17&lt;&gt;"",OR(ISERROR(SEARCH("@",E17)),ISERROR(SEARCH(".",E17)))),"• البريد غير صحيح ","")&amp;IF(AND(F17&lt;&gt;"",OR(LEN(F17)&lt;&gt;10,LEFT(F17,2)&lt;&gt;"05",ISERROR(--F17))),"• الجوال ليس بصيغة 05XXXXXXXX ","")&amp;IF(AND(L17&lt;&gt;"",OR(LEN(L17)&lt;2,LEN(L17)&gt;6,ISERROR(--L17),ISNUMBER(SEARCH(".",L17)))),"• التحويلة يجب أن تكون 2-6 أرقام ","")&amp;IF(AND(L17&lt;&gt;"",COUNTIF($L$6:$L$205,L17)&gt;1),"• التحويلة مكررة ","")&amp;IF(AND(M17="نعم",L17=""),"• يجري مكالمات بدون تحويلة ","")&amp;IF(AND(K17&lt;&gt;"",COUNTIF($D$6:$D$205,K17)=0),"• المشرف غير موجود في الجدول ","")&amp;IF(AND(J17="موظف تحصيل",K17=""),"• موظف التحصيل يحتاج مشرفاً ","")&amp;IF(AND(O17&lt;&gt;"",P17=""),"• نوع الهدف بدون قيمة ",""))="","✔ مكتمل",IF(((B17="")+(C17="")+(D17="")+(E17="")+(F17="")+(H17="")+(I17="")+(J17="")+(M17="")+(Q17=""))&gt;0,"• حقول إلزامية ناقصة ","")&amp;IF(AND(D17&lt;&gt;"",COUNTIF($D$6:$D$205,D17)&gt;1),"• اسم المستخدم مكرر ","")&amp;IF(AND(D17&lt;&gt;"",ISNUMBER(SEARCH(" ",D17))),"• اسم المستخدم فيه مسافة ","")&amp;IF(AND(E17&lt;&gt;"",OR(ISERROR(SEARCH("@",E17)),ISERROR(SEARCH(".",E17)))),"• البريد غير صحيح ","")&amp;IF(AND(F17&lt;&gt;"",OR(LEN(F17)&lt;&gt;10,LEFT(F17,2)&lt;&gt;"05",ISERROR(--F17))),"• الجوال ليس بصيغة 05XXXXXXXX ","")&amp;IF(AND(L17&lt;&gt;"",OR(LEN(L17)&lt;2,LEN(L17)&gt;6,ISERROR(--L17),ISNUMBER(SEARCH(".",L17)))),"• التحويلة يجب أن تكون 2-6 أرقام ","")&amp;IF(AND(L17&lt;&gt;"",COUNTIF($L$6:$L$205,L17)&gt;1),"• التحويلة مكررة ","")&amp;IF(AND(M17="نعم",L17=""),"• يجري مكالمات بدون تحويلة ","")&amp;IF(AND(K17&lt;&gt;"",COUNTIF($D$6:$D$205,K17)=0),"• المشرف غير موجود في الجدول ","")&amp;IF(AND(J17="موظف تحصيل",K17=""),"• موظف التحصيل يحتاج مشرفاً ","")&amp;IF(AND(O17&lt;&gt;"",P17=""),"• نوع الهدف بدون قيمة ","")))</f>
        <v/>
      </c>
    </row>
    <row r="18">
      <c r="A18" s="17">
        <f>IF(COUNTA(B18:R18)=0,"",ROW()-5)</f>
        <v/>
      </c>
      <c r="B18" s="18" t="n"/>
      <c r="C18" s="18" t="n"/>
      <c r="D18" s="18" t="n"/>
      <c r="E18" s="18" t="n"/>
      <c r="F18" s="18" t="n"/>
      <c r="G18" s="18" t="n"/>
      <c r="H18" s="10" t="n"/>
      <c r="I18" s="10" t="n"/>
      <c r="J18" s="10" t="n"/>
      <c r="K18" s="10" t="n"/>
      <c r="L18" s="18" t="n"/>
      <c r="M18" s="10" t="n"/>
      <c r="N18" s="18" t="n"/>
      <c r="O18" s="10" t="n"/>
      <c r="P18" s="19" t="n"/>
      <c r="Q18" s="10" t="n"/>
      <c r="R18" s="18" t="n"/>
      <c r="S18" s="20">
        <f>IF(COUNTA(B18:R18)=0,"",IF((IF(((B18="")+(C18="")+(D18="")+(E18="")+(F18="")+(H18="")+(I18="")+(J18="")+(M18="")+(Q18=""))&gt;0,"• حقول إلزامية ناقصة ","")&amp;IF(AND(D18&lt;&gt;"",COUNTIF($D$6:$D$205,D18)&gt;1),"• اسم المستخدم مكرر ","")&amp;IF(AND(D18&lt;&gt;"",ISNUMBER(SEARCH(" ",D18))),"• اسم المستخدم فيه مسافة ","")&amp;IF(AND(E18&lt;&gt;"",OR(ISERROR(SEARCH("@",E18)),ISERROR(SEARCH(".",E18)))),"• البريد غير صحيح ","")&amp;IF(AND(F18&lt;&gt;"",OR(LEN(F18)&lt;&gt;10,LEFT(F18,2)&lt;&gt;"05",ISERROR(--F18))),"• الجوال ليس بصيغة 05XXXXXXXX ","")&amp;IF(AND(L18&lt;&gt;"",OR(LEN(L18)&lt;2,LEN(L18)&gt;6,ISERROR(--L18),ISNUMBER(SEARCH(".",L18)))),"• التحويلة يجب أن تكون 2-6 أرقام ","")&amp;IF(AND(L18&lt;&gt;"",COUNTIF($L$6:$L$205,L18)&gt;1),"• التحويلة مكررة ","")&amp;IF(AND(M18="نعم",L18=""),"• يجري مكالمات بدون تحويلة ","")&amp;IF(AND(K18&lt;&gt;"",COUNTIF($D$6:$D$205,K18)=0),"• المشرف غير موجود في الجدول ","")&amp;IF(AND(J18="موظف تحصيل",K18=""),"• موظف التحصيل يحتاج مشرفاً ","")&amp;IF(AND(O18&lt;&gt;"",P18=""),"• نوع الهدف بدون قيمة ",""))="","✔ مكتمل",IF(((B18="")+(C18="")+(D18="")+(E18="")+(F18="")+(H18="")+(I18="")+(J18="")+(M18="")+(Q18=""))&gt;0,"• حقول إلزامية ناقصة ","")&amp;IF(AND(D18&lt;&gt;"",COUNTIF($D$6:$D$205,D18)&gt;1),"• اسم المستخدم مكرر ","")&amp;IF(AND(D18&lt;&gt;"",ISNUMBER(SEARCH(" ",D18))),"• اسم المستخدم فيه مسافة ","")&amp;IF(AND(E18&lt;&gt;"",OR(ISERROR(SEARCH("@",E18)),ISERROR(SEARCH(".",E18)))),"• البريد غير صحيح ","")&amp;IF(AND(F18&lt;&gt;"",OR(LEN(F18)&lt;&gt;10,LEFT(F18,2)&lt;&gt;"05",ISERROR(--F18))),"• الجوال ليس بصيغة 05XXXXXXXX ","")&amp;IF(AND(L18&lt;&gt;"",OR(LEN(L18)&lt;2,LEN(L18)&gt;6,ISERROR(--L18),ISNUMBER(SEARCH(".",L18)))),"• التحويلة يجب أن تكون 2-6 أرقام ","")&amp;IF(AND(L18&lt;&gt;"",COUNTIF($L$6:$L$205,L18)&gt;1),"• التحويلة مكررة ","")&amp;IF(AND(M18="نعم",L18=""),"• يجري مكالمات بدون تحويلة ","")&amp;IF(AND(K18&lt;&gt;"",COUNTIF($D$6:$D$205,K18)=0),"• المشرف غير موجود في الجدول ","")&amp;IF(AND(J18="موظف تحصيل",K18=""),"• موظف التحصيل يحتاج مشرفاً ","")&amp;IF(AND(O18&lt;&gt;"",P18=""),"• نوع الهدف بدون قيمة ","")))</f>
        <v/>
      </c>
    </row>
    <row r="19">
      <c r="A19" s="17">
        <f>IF(COUNTA(B19:R19)=0,"",ROW()-5)</f>
        <v/>
      </c>
      <c r="B19" s="18" t="n"/>
      <c r="C19" s="18" t="n"/>
      <c r="D19" s="18" t="n"/>
      <c r="E19" s="18" t="n"/>
      <c r="F19" s="18" t="n"/>
      <c r="G19" s="18" t="n"/>
      <c r="H19" s="10" t="n"/>
      <c r="I19" s="10" t="n"/>
      <c r="J19" s="10" t="n"/>
      <c r="K19" s="10" t="n"/>
      <c r="L19" s="18" t="n"/>
      <c r="M19" s="10" t="n"/>
      <c r="N19" s="18" t="n"/>
      <c r="O19" s="10" t="n"/>
      <c r="P19" s="19" t="n"/>
      <c r="Q19" s="10" t="n"/>
      <c r="R19" s="18" t="n"/>
      <c r="S19" s="20">
        <f>IF(COUNTA(B19:R19)=0,"",IF((IF(((B19="")+(C19="")+(D19="")+(E19="")+(F19="")+(H19="")+(I19="")+(J19="")+(M19="")+(Q19=""))&gt;0,"• حقول إلزامية ناقصة ","")&amp;IF(AND(D19&lt;&gt;"",COUNTIF($D$6:$D$205,D19)&gt;1),"• اسم المستخدم مكرر ","")&amp;IF(AND(D19&lt;&gt;"",ISNUMBER(SEARCH(" ",D19))),"• اسم المستخدم فيه مسافة ","")&amp;IF(AND(E19&lt;&gt;"",OR(ISERROR(SEARCH("@",E19)),ISERROR(SEARCH(".",E19)))),"• البريد غير صحيح ","")&amp;IF(AND(F19&lt;&gt;"",OR(LEN(F19)&lt;&gt;10,LEFT(F19,2)&lt;&gt;"05",ISERROR(--F19))),"• الجوال ليس بصيغة 05XXXXXXXX ","")&amp;IF(AND(L19&lt;&gt;"",OR(LEN(L19)&lt;2,LEN(L19)&gt;6,ISERROR(--L19),ISNUMBER(SEARCH(".",L19)))),"• التحويلة يجب أن تكون 2-6 أرقام ","")&amp;IF(AND(L19&lt;&gt;"",COUNTIF($L$6:$L$205,L19)&gt;1),"• التحويلة مكررة ","")&amp;IF(AND(M19="نعم",L19=""),"• يجري مكالمات بدون تحويلة ","")&amp;IF(AND(K19&lt;&gt;"",COUNTIF($D$6:$D$205,K19)=0),"• المشرف غير موجود في الجدول ","")&amp;IF(AND(J19="موظف تحصيل",K19=""),"• موظف التحصيل يحتاج مشرفاً ","")&amp;IF(AND(O19&lt;&gt;"",P19=""),"• نوع الهدف بدون قيمة ",""))="","✔ مكتمل",IF(((B19="")+(C19="")+(D19="")+(E19="")+(F19="")+(H19="")+(I19="")+(J19="")+(M19="")+(Q19=""))&gt;0,"• حقول إلزامية ناقصة ","")&amp;IF(AND(D19&lt;&gt;"",COUNTIF($D$6:$D$205,D19)&gt;1),"• اسم المستخدم مكرر ","")&amp;IF(AND(D19&lt;&gt;"",ISNUMBER(SEARCH(" ",D19))),"• اسم المستخدم فيه مسافة ","")&amp;IF(AND(E19&lt;&gt;"",OR(ISERROR(SEARCH("@",E19)),ISERROR(SEARCH(".",E19)))),"• البريد غير صحيح ","")&amp;IF(AND(F19&lt;&gt;"",OR(LEN(F19)&lt;&gt;10,LEFT(F19,2)&lt;&gt;"05",ISERROR(--F19))),"• الجوال ليس بصيغة 05XXXXXXXX ","")&amp;IF(AND(L19&lt;&gt;"",OR(LEN(L19)&lt;2,LEN(L19)&gt;6,ISERROR(--L19),ISNUMBER(SEARCH(".",L19)))),"• التحويلة يجب أن تكون 2-6 أرقام ","")&amp;IF(AND(L19&lt;&gt;"",COUNTIF($L$6:$L$205,L19)&gt;1),"• التحويلة مكررة ","")&amp;IF(AND(M19="نعم",L19=""),"• يجري مكالمات بدون تحويلة ","")&amp;IF(AND(K19&lt;&gt;"",COUNTIF($D$6:$D$205,K19)=0),"• المشرف غير موجود في الجدول ","")&amp;IF(AND(J19="موظف تحصيل",K19=""),"• موظف التحصيل يحتاج مشرفاً ","")&amp;IF(AND(O19&lt;&gt;"",P19=""),"• نوع الهدف بدون قيمة ","")))</f>
        <v/>
      </c>
    </row>
    <row r="20">
      <c r="A20" s="17">
        <f>IF(COUNTA(B20:R20)=0,"",ROW()-5)</f>
        <v/>
      </c>
      <c r="B20" s="18" t="n"/>
      <c r="C20" s="18" t="n"/>
      <c r="D20" s="18" t="n"/>
      <c r="E20" s="18" t="n"/>
      <c r="F20" s="18" t="n"/>
      <c r="G20" s="18" t="n"/>
      <c r="H20" s="10" t="n"/>
      <c r="I20" s="10" t="n"/>
      <c r="J20" s="10" t="n"/>
      <c r="K20" s="10" t="n"/>
      <c r="L20" s="18" t="n"/>
      <c r="M20" s="10" t="n"/>
      <c r="N20" s="18" t="n"/>
      <c r="O20" s="10" t="n"/>
      <c r="P20" s="19" t="n"/>
      <c r="Q20" s="10" t="n"/>
      <c r="R20" s="18" t="n"/>
      <c r="S20" s="20">
        <f>IF(COUNTA(B20:R20)=0,"",IF((IF(((B20="")+(C20="")+(D20="")+(E20="")+(F20="")+(H20="")+(I20="")+(J20="")+(M20="")+(Q20=""))&gt;0,"• حقول إلزامية ناقصة ","")&amp;IF(AND(D20&lt;&gt;"",COUNTIF($D$6:$D$205,D20)&gt;1),"• اسم المستخدم مكرر ","")&amp;IF(AND(D20&lt;&gt;"",ISNUMBER(SEARCH(" ",D20))),"• اسم المستخدم فيه مسافة ","")&amp;IF(AND(E20&lt;&gt;"",OR(ISERROR(SEARCH("@",E20)),ISERROR(SEARCH(".",E20)))),"• البريد غير صحيح ","")&amp;IF(AND(F20&lt;&gt;"",OR(LEN(F20)&lt;&gt;10,LEFT(F20,2)&lt;&gt;"05",ISERROR(--F20))),"• الجوال ليس بصيغة 05XXXXXXXX ","")&amp;IF(AND(L20&lt;&gt;"",OR(LEN(L20)&lt;2,LEN(L20)&gt;6,ISERROR(--L20),ISNUMBER(SEARCH(".",L20)))),"• التحويلة يجب أن تكون 2-6 أرقام ","")&amp;IF(AND(L20&lt;&gt;"",COUNTIF($L$6:$L$205,L20)&gt;1),"• التحويلة مكررة ","")&amp;IF(AND(M20="نعم",L20=""),"• يجري مكالمات بدون تحويلة ","")&amp;IF(AND(K20&lt;&gt;"",COUNTIF($D$6:$D$205,K20)=0),"• المشرف غير موجود في الجدول ","")&amp;IF(AND(J20="موظف تحصيل",K20=""),"• موظف التحصيل يحتاج مشرفاً ","")&amp;IF(AND(O20&lt;&gt;"",P20=""),"• نوع الهدف بدون قيمة ",""))="","✔ مكتمل",IF(((B20="")+(C20="")+(D20="")+(E20="")+(F20="")+(H20="")+(I20="")+(J20="")+(M20="")+(Q20=""))&gt;0,"• حقول إلزامية ناقصة ","")&amp;IF(AND(D20&lt;&gt;"",COUNTIF($D$6:$D$205,D20)&gt;1),"• اسم المستخدم مكرر ","")&amp;IF(AND(D20&lt;&gt;"",ISNUMBER(SEARCH(" ",D20))),"• اسم المستخدم فيه مسافة ","")&amp;IF(AND(E20&lt;&gt;"",OR(ISERROR(SEARCH("@",E20)),ISERROR(SEARCH(".",E20)))),"• البريد غير صحيح ","")&amp;IF(AND(F20&lt;&gt;"",OR(LEN(F20)&lt;&gt;10,LEFT(F20,2)&lt;&gt;"05",ISERROR(--F20))),"• الجوال ليس بصيغة 05XXXXXXXX ","")&amp;IF(AND(L20&lt;&gt;"",OR(LEN(L20)&lt;2,LEN(L20)&gt;6,ISERROR(--L20),ISNUMBER(SEARCH(".",L20)))),"• التحويلة يجب أن تكون 2-6 أرقام ","")&amp;IF(AND(L20&lt;&gt;"",COUNTIF($L$6:$L$205,L20)&gt;1),"• التحويلة مكررة ","")&amp;IF(AND(M20="نعم",L20=""),"• يجري مكالمات بدون تحويلة ","")&amp;IF(AND(K20&lt;&gt;"",COUNTIF($D$6:$D$205,K20)=0),"• المشرف غير موجود في الجدول ","")&amp;IF(AND(J20="موظف تحصيل",K20=""),"• موظف التحصيل يحتاج مشرفاً ","")&amp;IF(AND(O20&lt;&gt;"",P20=""),"• نوع الهدف بدون قيمة ","")))</f>
        <v/>
      </c>
    </row>
    <row r="21">
      <c r="A21" s="17">
        <f>IF(COUNTA(B21:R21)=0,"",ROW()-5)</f>
        <v/>
      </c>
      <c r="B21" s="18" t="n"/>
      <c r="C21" s="18" t="n"/>
      <c r="D21" s="18" t="n"/>
      <c r="E21" s="18" t="n"/>
      <c r="F21" s="18" t="n"/>
      <c r="G21" s="18" t="n"/>
      <c r="H21" s="10" t="n"/>
      <c r="I21" s="10" t="n"/>
      <c r="J21" s="10" t="n"/>
      <c r="K21" s="10" t="n"/>
      <c r="L21" s="18" t="n"/>
      <c r="M21" s="10" t="n"/>
      <c r="N21" s="18" t="n"/>
      <c r="O21" s="10" t="n"/>
      <c r="P21" s="19" t="n"/>
      <c r="Q21" s="10" t="n"/>
      <c r="R21" s="18" t="n"/>
      <c r="S21" s="20">
        <f>IF(COUNTA(B21:R21)=0,"",IF((IF(((B21="")+(C21="")+(D21="")+(E21="")+(F21="")+(H21="")+(I21="")+(J21="")+(M21="")+(Q21=""))&gt;0,"• حقول إلزامية ناقصة ","")&amp;IF(AND(D21&lt;&gt;"",COUNTIF($D$6:$D$205,D21)&gt;1),"• اسم المستخدم مكرر ","")&amp;IF(AND(D21&lt;&gt;"",ISNUMBER(SEARCH(" ",D21))),"• اسم المستخدم فيه مسافة ","")&amp;IF(AND(E21&lt;&gt;"",OR(ISERROR(SEARCH("@",E21)),ISERROR(SEARCH(".",E21)))),"• البريد غير صحيح ","")&amp;IF(AND(F21&lt;&gt;"",OR(LEN(F21)&lt;&gt;10,LEFT(F21,2)&lt;&gt;"05",ISERROR(--F21))),"• الجوال ليس بصيغة 05XXXXXXXX ","")&amp;IF(AND(L21&lt;&gt;"",OR(LEN(L21)&lt;2,LEN(L21)&gt;6,ISERROR(--L21),ISNUMBER(SEARCH(".",L21)))),"• التحويلة يجب أن تكون 2-6 أرقام ","")&amp;IF(AND(L21&lt;&gt;"",COUNTIF($L$6:$L$205,L21)&gt;1),"• التحويلة مكررة ","")&amp;IF(AND(M21="نعم",L21=""),"• يجري مكالمات بدون تحويلة ","")&amp;IF(AND(K21&lt;&gt;"",COUNTIF($D$6:$D$205,K21)=0),"• المشرف غير موجود في الجدول ","")&amp;IF(AND(J21="موظف تحصيل",K21=""),"• موظف التحصيل يحتاج مشرفاً ","")&amp;IF(AND(O21&lt;&gt;"",P21=""),"• نوع الهدف بدون قيمة ",""))="","✔ مكتمل",IF(((B21="")+(C21="")+(D21="")+(E21="")+(F21="")+(H21="")+(I21="")+(J21="")+(M21="")+(Q21=""))&gt;0,"• حقول إلزامية ناقصة ","")&amp;IF(AND(D21&lt;&gt;"",COUNTIF($D$6:$D$205,D21)&gt;1),"• اسم المستخدم مكرر ","")&amp;IF(AND(D21&lt;&gt;"",ISNUMBER(SEARCH(" ",D21))),"• اسم المستخدم فيه مسافة ","")&amp;IF(AND(E21&lt;&gt;"",OR(ISERROR(SEARCH("@",E21)),ISERROR(SEARCH(".",E21)))),"• البريد غير صحيح ","")&amp;IF(AND(F21&lt;&gt;"",OR(LEN(F21)&lt;&gt;10,LEFT(F21,2)&lt;&gt;"05",ISERROR(--F21))),"• الجوال ليس بصيغة 05XXXXXXXX ","")&amp;IF(AND(L21&lt;&gt;"",OR(LEN(L21)&lt;2,LEN(L21)&gt;6,ISERROR(--L21),ISNUMBER(SEARCH(".",L21)))),"• التحويلة يجب أن تكون 2-6 أرقام ","")&amp;IF(AND(L21&lt;&gt;"",COUNTIF($L$6:$L$205,L21)&gt;1),"• التحويلة مكررة ","")&amp;IF(AND(M21="نعم",L21=""),"• يجري مكالمات بدون تحويلة ","")&amp;IF(AND(K21&lt;&gt;"",COUNTIF($D$6:$D$205,K21)=0),"• المشرف غير موجود في الجدول ","")&amp;IF(AND(J21="موظف تحصيل",K21=""),"• موظف التحصيل يحتاج مشرفاً ","")&amp;IF(AND(O21&lt;&gt;"",P21=""),"• نوع الهدف بدون قيمة ","")))</f>
        <v/>
      </c>
    </row>
    <row r="22">
      <c r="A22" s="17">
        <f>IF(COUNTA(B22:R22)=0,"",ROW()-5)</f>
        <v/>
      </c>
      <c r="B22" s="18" t="n"/>
      <c r="C22" s="18" t="n"/>
      <c r="D22" s="18" t="n"/>
      <c r="E22" s="18" t="n"/>
      <c r="F22" s="18" t="n"/>
      <c r="G22" s="18" t="n"/>
      <c r="H22" s="10" t="n"/>
      <c r="I22" s="10" t="n"/>
      <c r="J22" s="10" t="n"/>
      <c r="K22" s="10" t="n"/>
      <c r="L22" s="18" t="n"/>
      <c r="M22" s="10" t="n"/>
      <c r="N22" s="18" t="n"/>
      <c r="O22" s="10" t="n"/>
      <c r="P22" s="19" t="n"/>
      <c r="Q22" s="10" t="n"/>
      <c r="R22" s="18" t="n"/>
      <c r="S22" s="20">
        <f>IF(COUNTA(B22:R22)=0,"",IF((IF(((B22="")+(C22="")+(D22="")+(E22="")+(F22="")+(H22="")+(I22="")+(J22="")+(M22="")+(Q22=""))&gt;0,"• حقول إلزامية ناقصة ","")&amp;IF(AND(D22&lt;&gt;"",COUNTIF($D$6:$D$205,D22)&gt;1),"• اسم المستخدم مكرر ","")&amp;IF(AND(D22&lt;&gt;"",ISNUMBER(SEARCH(" ",D22))),"• اسم المستخدم فيه مسافة ","")&amp;IF(AND(E22&lt;&gt;"",OR(ISERROR(SEARCH("@",E22)),ISERROR(SEARCH(".",E22)))),"• البريد غير صحيح ","")&amp;IF(AND(F22&lt;&gt;"",OR(LEN(F22)&lt;&gt;10,LEFT(F22,2)&lt;&gt;"05",ISERROR(--F22))),"• الجوال ليس بصيغة 05XXXXXXXX ","")&amp;IF(AND(L22&lt;&gt;"",OR(LEN(L22)&lt;2,LEN(L22)&gt;6,ISERROR(--L22),ISNUMBER(SEARCH(".",L22)))),"• التحويلة يجب أن تكون 2-6 أرقام ","")&amp;IF(AND(L22&lt;&gt;"",COUNTIF($L$6:$L$205,L22)&gt;1),"• التحويلة مكررة ","")&amp;IF(AND(M22="نعم",L22=""),"• يجري مكالمات بدون تحويلة ","")&amp;IF(AND(K22&lt;&gt;"",COUNTIF($D$6:$D$205,K22)=0),"• المشرف غير موجود في الجدول ","")&amp;IF(AND(J22="موظف تحصيل",K22=""),"• موظف التحصيل يحتاج مشرفاً ","")&amp;IF(AND(O22&lt;&gt;"",P22=""),"• نوع الهدف بدون قيمة ",""))="","✔ مكتمل",IF(((B22="")+(C22="")+(D22="")+(E22="")+(F22="")+(H22="")+(I22="")+(J22="")+(M22="")+(Q22=""))&gt;0,"• حقول إلزامية ناقصة ","")&amp;IF(AND(D22&lt;&gt;"",COUNTIF($D$6:$D$205,D22)&gt;1),"• اسم المستخدم مكرر ","")&amp;IF(AND(D22&lt;&gt;"",ISNUMBER(SEARCH(" ",D22))),"• اسم المستخدم فيه مسافة ","")&amp;IF(AND(E22&lt;&gt;"",OR(ISERROR(SEARCH("@",E22)),ISERROR(SEARCH(".",E22)))),"• البريد غير صحيح ","")&amp;IF(AND(F22&lt;&gt;"",OR(LEN(F22)&lt;&gt;10,LEFT(F22,2)&lt;&gt;"05",ISERROR(--F22))),"• الجوال ليس بصيغة 05XXXXXXXX ","")&amp;IF(AND(L22&lt;&gt;"",OR(LEN(L22)&lt;2,LEN(L22)&gt;6,ISERROR(--L22),ISNUMBER(SEARCH(".",L22)))),"• التحويلة يجب أن تكون 2-6 أرقام ","")&amp;IF(AND(L22&lt;&gt;"",COUNTIF($L$6:$L$205,L22)&gt;1),"• التحويلة مكررة ","")&amp;IF(AND(M22="نعم",L22=""),"• يجري مكالمات بدون تحويلة ","")&amp;IF(AND(K22&lt;&gt;"",COUNTIF($D$6:$D$205,K22)=0),"• المشرف غير موجود في الجدول ","")&amp;IF(AND(J22="موظف تحصيل",K22=""),"• موظف التحصيل يحتاج مشرفاً ","")&amp;IF(AND(O22&lt;&gt;"",P22=""),"• نوع الهدف بدون قيمة ","")))</f>
        <v/>
      </c>
    </row>
    <row r="23">
      <c r="A23" s="17">
        <f>IF(COUNTA(B23:R23)=0,"",ROW()-5)</f>
        <v/>
      </c>
      <c r="B23" s="18" t="n"/>
      <c r="C23" s="18" t="n"/>
      <c r="D23" s="18" t="n"/>
      <c r="E23" s="18" t="n"/>
      <c r="F23" s="18" t="n"/>
      <c r="G23" s="18" t="n"/>
      <c r="H23" s="10" t="n"/>
      <c r="I23" s="10" t="n"/>
      <c r="J23" s="10" t="n"/>
      <c r="K23" s="10" t="n"/>
      <c r="L23" s="18" t="n"/>
      <c r="M23" s="10" t="n"/>
      <c r="N23" s="18" t="n"/>
      <c r="O23" s="10" t="n"/>
      <c r="P23" s="19" t="n"/>
      <c r="Q23" s="10" t="n"/>
      <c r="R23" s="18" t="n"/>
      <c r="S23" s="20">
        <f>IF(COUNTA(B23:R23)=0,"",IF((IF(((B23="")+(C23="")+(D23="")+(E23="")+(F23="")+(H23="")+(I23="")+(J23="")+(M23="")+(Q23=""))&gt;0,"• حقول إلزامية ناقصة ","")&amp;IF(AND(D23&lt;&gt;"",COUNTIF($D$6:$D$205,D23)&gt;1),"• اسم المستخدم مكرر ","")&amp;IF(AND(D23&lt;&gt;"",ISNUMBER(SEARCH(" ",D23))),"• اسم المستخدم فيه مسافة ","")&amp;IF(AND(E23&lt;&gt;"",OR(ISERROR(SEARCH("@",E23)),ISERROR(SEARCH(".",E23)))),"• البريد غير صحيح ","")&amp;IF(AND(F23&lt;&gt;"",OR(LEN(F23)&lt;&gt;10,LEFT(F23,2)&lt;&gt;"05",ISERROR(--F23))),"• الجوال ليس بصيغة 05XXXXXXXX ","")&amp;IF(AND(L23&lt;&gt;"",OR(LEN(L23)&lt;2,LEN(L23)&gt;6,ISERROR(--L23),ISNUMBER(SEARCH(".",L23)))),"• التحويلة يجب أن تكون 2-6 أرقام ","")&amp;IF(AND(L23&lt;&gt;"",COUNTIF($L$6:$L$205,L23)&gt;1),"• التحويلة مكررة ","")&amp;IF(AND(M23="نعم",L23=""),"• يجري مكالمات بدون تحويلة ","")&amp;IF(AND(K23&lt;&gt;"",COUNTIF($D$6:$D$205,K23)=0),"• المشرف غير موجود في الجدول ","")&amp;IF(AND(J23="موظف تحصيل",K23=""),"• موظف التحصيل يحتاج مشرفاً ","")&amp;IF(AND(O23&lt;&gt;"",P23=""),"• نوع الهدف بدون قيمة ",""))="","✔ مكتمل",IF(((B23="")+(C23="")+(D23="")+(E23="")+(F23="")+(H23="")+(I23="")+(J23="")+(M23="")+(Q23=""))&gt;0,"• حقول إلزامية ناقصة ","")&amp;IF(AND(D23&lt;&gt;"",COUNTIF($D$6:$D$205,D23)&gt;1),"• اسم المستخدم مكرر ","")&amp;IF(AND(D23&lt;&gt;"",ISNUMBER(SEARCH(" ",D23))),"• اسم المستخدم فيه مسافة ","")&amp;IF(AND(E23&lt;&gt;"",OR(ISERROR(SEARCH("@",E23)),ISERROR(SEARCH(".",E23)))),"• البريد غير صحيح ","")&amp;IF(AND(F23&lt;&gt;"",OR(LEN(F23)&lt;&gt;10,LEFT(F23,2)&lt;&gt;"05",ISERROR(--F23))),"• الجوال ليس بصيغة 05XXXXXXXX ","")&amp;IF(AND(L23&lt;&gt;"",OR(LEN(L23)&lt;2,LEN(L23)&gt;6,ISERROR(--L23),ISNUMBER(SEARCH(".",L23)))),"• التحويلة يجب أن تكون 2-6 أرقام ","")&amp;IF(AND(L23&lt;&gt;"",COUNTIF($L$6:$L$205,L23)&gt;1),"• التحويلة مكررة ","")&amp;IF(AND(M23="نعم",L23=""),"• يجري مكالمات بدون تحويلة ","")&amp;IF(AND(K23&lt;&gt;"",COUNTIF($D$6:$D$205,K23)=0),"• المشرف غير موجود في الجدول ","")&amp;IF(AND(J23="موظف تحصيل",K23=""),"• موظف التحصيل يحتاج مشرفاً ","")&amp;IF(AND(O23&lt;&gt;"",P23=""),"• نوع الهدف بدون قيمة ","")))</f>
        <v/>
      </c>
    </row>
    <row r="24">
      <c r="A24" s="17">
        <f>IF(COUNTA(B24:R24)=0,"",ROW()-5)</f>
        <v/>
      </c>
      <c r="B24" s="18" t="n"/>
      <c r="C24" s="18" t="n"/>
      <c r="D24" s="18" t="n"/>
      <c r="E24" s="18" t="n"/>
      <c r="F24" s="18" t="n"/>
      <c r="G24" s="18" t="n"/>
      <c r="H24" s="10" t="n"/>
      <c r="I24" s="10" t="n"/>
      <c r="J24" s="10" t="n"/>
      <c r="K24" s="10" t="n"/>
      <c r="L24" s="18" t="n"/>
      <c r="M24" s="10" t="n"/>
      <c r="N24" s="18" t="n"/>
      <c r="O24" s="10" t="n"/>
      <c r="P24" s="19" t="n"/>
      <c r="Q24" s="10" t="n"/>
      <c r="R24" s="18" t="n"/>
      <c r="S24" s="20">
        <f>IF(COUNTA(B24:R24)=0,"",IF((IF(((B24="")+(C24="")+(D24="")+(E24="")+(F24="")+(H24="")+(I24="")+(J24="")+(M24="")+(Q24=""))&gt;0,"• حقول إلزامية ناقصة ","")&amp;IF(AND(D24&lt;&gt;"",COUNTIF($D$6:$D$205,D24)&gt;1),"• اسم المستخدم مكرر ","")&amp;IF(AND(D24&lt;&gt;"",ISNUMBER(SEARCH(" ",D24))),"• اسم المستخدم فيه مسافة ","")&amp;IF(AND(E24&lt;&gt;"",OR(ISERROR(SEARCH("@",E24)),ISERROR(SEARCH(".",E24)))),"• البريد غير صحيح ","")&amp;IF(AND(F24&lt;&gt;"",OR(LEN(F24)&lt;&gt;10,LEFT(F24,2)&lt;&gt;"05",ISERROR(--F24))),"• الجوال ليس بصيغة 05XXXXXXXX ","")&amp;IF(AND(L24&lt;&gt;"",OR(LEN(L24)&lt;2,LEN(L24)&gt;6,ISERROR(--L24),ISNUMBER(SEARCH(".",L24)))),"• التحويلة يجب أن تكون 2-6 أرقام ","")&amp;IF(AND(L24&lt;&gt;"",COUNTIF($L$6:$L$205,L24)&gt;1),"• التحويلة مكررة ","")&amp;IF(AND(M24="نعم",L24=""),"• يجري مكالمات بدون تحويلة ","")&amp;IF(AND(K24&lt;&gt;"",COUNTIF($D$6:$D$205,K24)=0),"• المشرف غير موجود في الجدول ","")&amp;IF(AND(J24="موظف تحصيل",K24=""),"• موظف التحصيل يحتاج مشرفاً ","")&amp;IF(AND(O24&lt;&gt;"",P24=""),"• نوع الهدف بدون قيمة ",""))="","✔ مكتمل",IF(((B24="")+(C24="")+(D24="")+(E24="")+(F24="")+(H24="")+(I24="")+(J24="")+(M24="")+(Q24=""))&gt;0,"• حقول إلزامية ناقصة ","")&amp;IF(AND(D24&lt;&gt;"",COUNTIF($D$6:$D$205,D24)&gt;1),"• اسم المستخدم مكرر ","")&amp;IF(AND(D24&lt;&gt;"",ISNUMBER(SEARCH(" ",D24))),"• اسم المستخدم فيه مسافة ","")&amp;IF(AND(E24&lt;&gt;"",OR(ISERROR(SEARCH("@",E24)),ISERROR(SEARCH(".",E24)))),"• البريد غير صحيح ","")&amp;IF(AND(F24&lt;&gt;"",OR(LEN(F24)&lt;&gt;10,LEFT(F24,2)&lt;&gt;"05",ISERROR(--F24))),"• الجوال ليس بصيغة 05XXXXXXXX ","")&amp;IF(AND(L24&lt;&gt;"",OR(LEN(L24)&lt;2,LEN(L24)&gt;6,ISERROR(--L24),ISNUMBER(SEARCH(".",L24)))),"• التحويلة يجب أن تكون 2-6 أرقام ","")&amp;IF(AND(L24&lt;&gt;"",COUNTIF($L$6:$L$205,L24)&gt;1),"• التحويلة مكررة ","")&amp;IF(AND(M24="نعم",L24=""),"• يجري مكالمات بدون تحويلة ","")&amp;IF(AND(K24&lt;&gt;"",COUNTIF($D$6:$D$205,K24)=0),"• المشرف غير موجود في الجدول ","")&amp;IF(AND(J24="موظف تحصيل",K24=""),"• موظف التحصيل يحتاج مشرفاً ","")&amp;IF(AND(O24&lt;&gt;"",P24=""),"• نوع الهدف بدون قيمة ","")))</f>
        <v/>
      </c>
    </row>
    <row r="25">
      <c r="A25" s="17">
        <f>IF(COUNTA(B25:R25)=0,"",ROW()-5)</f>
        <v/>
      </c>
      <c r="B25" s="18" t="n"/>
      <c r="C25" s="18" t="n"/>
      <c r="D25" s="18" t="n"/>
      <c r="E25" s="18" t="n"/>
      <c r="F25" s="18" t="n"/>
      <c r="G25" s="18" t="n"/>
      <c r="H25" s="10" t="n"/>
      <c r="I25" s="10" t="n"/>
      <c r="J25" s="10" t="n"/>
      <c r="K25" s="10" t="n"/>
      <c r="L25" s="18" t="n"/>
      <c r="M25" s="10" t="n"/>
      <c r="N25" s="18" t="n"/>
      <c r="O25" s="10" t="n"/>
      <c r="P25" s="19" t="n"/>
      <c r="Q25" s="10" t="n"/>
      <c r="R25" s="18" t="n"/>
      <c r="S25" s="20">
        <f>IF(COUNTA(B25:R25)=0,"",IF((IF(((B25="")+(C25="")+(D25="")+(E25="")+(F25="")+(H25="")+(I25="")+(J25="")+(M25="")+(Q25=""))&gt;0,"• حقول إلزامية ناقصة ","")&amp;IF(AND(D25&lt;&gt;"",COUNTIF($D$6:$D$205,D25)&gt;1),"• اسم المستخدم مكرر ","")&amp;IF(AND(D25&lt;&gt;"",ISNUMBER(SEARCH(" ",D25))),"• اسم المستخدم فيه مسافة ","")&amp;IF(AND(E25&lt;&gt;"",OR(ISERROR(SEARCH("@",E25)),ISERROR(SEARCH(".",E25)))),"• البريد غير صحيح ","")&amp;IF(AND(F25&lt;&gt;"",OR(LEN(F25)&lt;&gt;10,LEFT(F25,2)&lt;&gt;"05",ISERROR(--F25))),"• الجوال ليس بصيغة 05XXXXXXXX ","")&amp;IF(AND(L25&lt;&gt;"",OR(LEN(L25)&lt;2,LEN(L25)&gt;6,ISERROR(--L25),ISNUMBER(SEARCH(".",L25)))),"• التحويلة يجب أن تكون 2-6 أرقام ","")&amp;IF(AND(L25&lt;&gt;"",COUNTIF($L$6:$L$205,L25)&gt;1),"• التحويلة مكررة ","")&amp;IF(AND(M25="نعم",L25=""),"• يجري مكالمات بدون تحويلة ","")&amp;IF(AND(K25&lt;&gt;"",COUNTIF($D$6:$D$205,K25)=0),"• المشرف غير موجود في الجدول ","")&amp;IF(AND(J25="موظف تحصيل",K25=""),"• موظف التحصيل يحتاج مشرفاً ","")&amp;IF(AND(O25&lt;&gt;"",P25=""),"• نوع الهدف بدون قيمة ",""))="","✔ مكتمل",IF(((B25="")+(C25="")+(D25="")+(E25="")+(F25="")+(H25="")+(I25="")+(J25="")+(M25="")+(Q25=""))&gt;0,"• حقول إلزامية ناقصة ","")&amp;IF(AND(D25&lt;&gt;"",COUNTIF($D$6:$D$205,D25)&gt;1),"• اسم المستخدم مكرر ","")&amp;IF(AND(D25&lt;&gt;"",ISNUMBER(SEARCH(" ",D25))),"• اسم المستخدم فيه مسافة ","")&amp;IF(AND(E25&lt;&gt;"",OR(ISERROR(SEARCH("@",E25)),ISERROR(SEARCH(".",E25)))),"• البريد غير صحيح ","")&amp;IF(AND(F25&lt;&gt;"",OR(LEN(F25)&lt;&gt;10,LEFT(F25,2)&lt;&gt;"05",ISERROR(--F25))),"• الجوال ليس بصيغة 05XXXXXXXX ","")&amp;IF(AND(L25&lt;&gt;"",OR(LEN(L25)&lt;2,LEN(L25)&gt;6,ISERROR(--L25),ISNUMBER(SEARCH(".",L25)))),"• التحويلة يجب أن تكون 2-6 أرقام ","")&amp;IF(AND(L25&lt;&gt;"",COUNTIF($L$6:$L$205,L25)&gt;1),"• التحويلة مكررة ","")&amp;IF(AND(M25="نعم",L25=""),"• يجري مكالمات بدون تحويلة ","")&amp;IF(AND(K25&lt;&gt;"",COUNTIF($D$6:$D$205,K25)=0),"• المشرف غير موجود في الجدول ","")&amp;IF(AND(J25="موظف تحصيل",K25=""),"• موظف التحصيل يحتاج مشرفاً ","")&amp;IF(AND(O25&lt;&gt;"",P25=""),"• نوع الهدف بدون قيمة ","")))</f>
        <v/>
      </c>
    </row>
    <row r="26">
      <c r="A26" s="17">
        <f>IF(COUNTA(B26:R26)=0,"",ROW()-5)</f>
        <v/>
      </c>
      <c r="B26" s="18" t="n"/>
      <c r="C26" s="18" t="n"/>
      <c r="D26" s="18" t="n"/>
      <c r="E26" s="18" t="n"/>
      <c r="F26" s="18" t="n"/>
      <c r="G26" s="18" t="n"/>
      <c r="H26" s="10" t="n"/>
      <c r="I26" s="10" t="n"/>
      <c r="J26" s="10" t="n"/>
      <c r="K26" s="10" t="n"/>
      <c r="L26" s="18" t="n"/>
      <c r="M26" s="10" t="n"/>
      <c r="N26" s="18" t="n"/>
      <c r="O26" s="10" t="n"/>
      <c r="P26" s="19" t="n"/>
      <c r="Q26" s="10" t="n"/>
      <c r="R26" s="18" t="n"/>
      <c r="S26" s="20">
        <f>IF(COUNTA(B26:R26)=0,"",IF((IF(((B26="")+(C26="")+(D26="")+(E26="")+(F26="")+(H26="")+(I26="")+(J26="")+(M26="")+(Q26=""))&gt;0,"• حقول إلزامية ناقصة ","")&amp;IF(AND(D26&lt;&gt;"",COUNTIF($D$6:$D$205,D26)&gt;1),"• اسم المستخدم مكرر ","")&amp;IF(AND(D26&lt;&gt;"",ISNUMBER(SEARCH(" ",D26))),"• اسم المستخدم فيه مسافة ","")&amp;IF(AND(E26&lt;&gt;"",OR(ISERROR(SEARCH("@",E26)),ISERROR(SEARCH(".",E26)))),"• البريد غير صحيح ","")&amp;IF(AND(F26&lt;&gt;"",OR(LEN(F26)&lt;&gt;10,LEFT(F26,2)&lt;&gt;"05",ISERROR(--F26))),"• الجوال ليس بصيغة 05XXXXXXXX ","")&amp;IF(AND(L26&lt;&gt;"",OR(LEN(L26)&lt;2,LEN(L26)&gt;6,ISERROR(--L26),ISNUMBER(SEARCH(".",L26)))),"• التحويلة يجب أن تكون 2-6 أرقام ","")&amp;IF(AND(L26&lt;&gt;"",COUNTIF($L$6:$L$205,L26)&gt;1),"• التحويلة مكررة ","")&amp;IF(AND(M26="نعم",L26=""),"• يجري مكالمات بدون تحويلة ","")&amp;IF(AND(K26&lt;&gt;"",COUNTIF($D$6:$D$205,K26)=0),"• المشرف غير موجود في الجدول ","")&amp;IF(AND(J26="موظف تحصيل",K26=""),"• موظف التحصيل يحتاج مشرفاً ","")&amp;IF(AND(O26&lt;&gt;"",P26=""),"• نوع الهدف بدون قيمة ",""))="","✔ مكتمل",IF(((B26="")+(C26="")+(D26="")+(E26="")+(F26="")+(H26="")+(I26="")+(J26="")+(M26="")+(Q26=""))&gt;0,"• حقول إلزامية ناقصة ","")&amp;IF(AND(D26&lt;&gt;"",COUNTIF($D$6:$D$205,D26)&gt;1),"• اسم المستخدم مكرر ","")&amp;IF(AND(D26&lt;&gt;"",ISNUMBER(SEARCH(" ",D26))),"• اسم المستخدم فيه مسافة ","")&amp;IF(AND(E26&lt;&gt;"",OR(ISERROR(SEARCH("@",E26)),ISERROR(SEARCH(".",E26)))),"• البريد غير صحيح ","")&amp;IF(AND(F26&lt;&gt;"",OR(LEN(F26)&lt;&gt;10,LEFT(F26,2)&lt;&gt;"05",ISERROR(--F26))),"• الجوال ليس بصيغة 05XXXXXXXX ","")&amp;IF(AND(L26&lt;&gt;"",OR(LEN(L26)&lt;2,LEN(L26)&gt;6,ISERROR(--L26),ISNUMBER(SEARCH(".",L26)))),"• التحويلة يجب أن تكون 2-6 أرقام ","")&amp;IF(AND(L26&lt;&gt;"",COUNTIF($L$6:$L$205,L26)&gt;1),"• التحويلة مكررة ","")&amp;IF(AND(M26="نعم",L26=""),"• يجري مكالمات بدون تحويلة ","")&amp;IF(AND(K26&lt;&gt;"",COUNTIF($D$6:$D$205,K26)=0),"• المشرف غير موجود في الجدول ","")&amp;IF(AND(J26="موظف تحصيل",K26=""),"• موظف التحصيل يحتاج مشرفاً ","")&amp;IF(AND(O26&lt;&gt;"",P26=""),"• نوع الهدف بدون قيمة ","")))</f>
        <v/>
      </c>
    </row>
    <row r="27">
      <c r="A27" s="17">
        <f>IF(COUNTA(B27:R27)=0,"",ROW()-5)</f>
        <v/>
      </c>
      <c r="B27" s="18" t="n"/>
      <c r="C27" s="18" t="n"/>
      <c r="D27" s="18" t="n"/>
      <c r="E27" s="18" t="n"/>
      <c r="F27" s="18" t="n"/>
      <c r="G27" s="18" t="n"/>
      <c r="H27" s="10" t="n"/>
      <c r="I27" s="10" t="n"/>
      <c r="J27" s="10" t="n"/>
      <c r="K27" s="10" t="n"/>
      <c r="L27" s="18" t="n"/>
      <c r="M27" s="10" t="n"/>
      <c r="N27" s="18" t="n"/>
      <c r="O27" s="10" t="n"/>
      <c r="P27" s="19" t="n"/>
      <c r="Q27" s="10" t="n"/>
      <c r="R27" s="18" t="n"/>
      <c r="S27" s="20">
        <f>IF(COUNTA(B27:R27)=0,"",IF((IF(((B27="")+(C27="")+(D27="")+(E27="")+(F27="")+(H27="")+(I27="")+(J27="")+(M27="")+(Q27=""))&gt;0,"• حقول إلزامية ناقصة ","")&amp;IF(AND(D27&lt;&gt;"",COUNTIF($D$6:$D$205,D27)&gt;1),"• اسم المستخدم مكرر ","")&amp;IF(AND(D27&lt;&gt;"",ISNUMBER(SEARCH(" ",D27))),"• اسم المستخدم فيه مسافة ","")&amp;IF(AND(E27&lt;&gt;"",OR(ISERROR(SEARCH("@",E27)),ISERROR(SEARCH(".",E27)))),"• البريد غير صحيح ","")&amp;IF(AND(F27&lt;&gt;"",OR(LEN(F27)&lt;&gt;10,LEFT(F27,2)&lt;&gt;"05",ISERROR(--F27))),"• الجوال ليس بصيغة 05XXXXXXXX ","")&amp;IF(AND(L27&lt;&gt;"",OR(LEN(L27)&lt;2,LEN(L27)&gt;6,ISERROR(--L27),ISNUMBER(SEARCH(".",L27)))),"• التحويلة يجب أن تكون 2-6 أرقام ","")&amp;IF(AND(L27&lt;&gt;"",COUNTIF($L$6:$L$205,L27)&gt;1),"• التحويلة مكررة ","")&amp;IF(AND(M27="نعم",L27=""),"• يجري مكالمات بدون تحويلة ","")&amp;IF(AND(K27&lt;&gt;"",COUNTIF($D$6:$D$205,K27)=0),"• المشرف غير موجود في الجدول ","")&amp;IF(AND(J27="موظف تحصيل",K27=""),"• موظف التحصيل يحتاج مشرفاً ","")&amp;IF(AND(O27&lt;&gt;"",P27=""),"• نوع الهدف بدون قيمة ",""))="","✔ مكتمل",IF(((B27="")+(C27="")+(D27="")+(E27="")+(F27="")+(H27="")+(I27="")+(J27="")+(M27="")+(Q27=""))&gt;0,"• حقول إلزامية ناقصة ","")&amp;IF(AND(D27&lt;&gt;"",COUNTIF($D$6:$D$205,D27)&gt;1),"• اسم المستخدم مكرر ","")&amp;IF(AND(D27&lt;&gt;"",ISNUMBER(SEARCH(" ",D27))),"• اسم المستخدم فيه مسافة ","")&amp;IF(AND(E27&lt;&gt;"",OR(ISERROR(SEARCH("@",E27)),ISERROR(SEARCH(".",E27)))),"• البريد غير صحيح ","")&amp;IF(AND(F27&lt;&gt;"",OR(LEN(F27)&lt;&gt;10,LEFT(F27,2)&lt;&gt;"05",ISERROR(--F27))),"• الجوال ليس بصيغة 05XXXXXXXX ","")&amp;IF(AND(L27&lt;&gt;"",OR(LEN(L27)&lt;2,LEN(L27)&gt;6,ISERROR(--L27),ISNUMBER(SEARCH(".",L27)))),"• التحويلة يجب أن تكون 2-6 أرقام ","")&amp;IF(AND(L27&lt;&gt;"",COUNTIF($L$6:$L$205,L27)&gt;1),"• التحويلة مكررة ","")&amp;IF(AND(M27="نعم",L27=""),"• يجري مكالمات بدون تحويلة ","")&amp;IF(AND(K27&lt;&gt;"",COUNTIF($D$6:$D$205,K27)=0),"• المشرف غير موجود في الجدول ","")&amp;IF(AND(J27="موظف تحصيل",K27=""),"• موظف التحصيل يحتاج مشرفاً ","")&amp;IF(AND(O27&lt;&gt;"",P27=""),"• نوع الهدف بدون قيمة ","")))</f>
        <v/>
      </c>
    </row>
    <row r="28">
      <c r="A28" s="17">
        <f>IF(COUNTA(B28:R28)=0,"",ROW()-5)</f>
        <v/>
      </c>
      <c r="B28" s="18" t="n"/>
      <c r="C28" s="18" t="n"/>
      <c r="D28" s="18" t="n"/>
      <c r="E28" s="18" t="n"/>
      <c r="F28" s="18" t="n"/>
      <c r="G28" s="18" t="n"/>
      <c r="H28" s="10" t="n"/>
      <c r="I28" s="10" t="n"/>
      <c r="J28" s="10" t="n"/>
      <c r="K28" s="10" t="n"/>
      <c r="L28" s="18" t="n"/>
      <c r="M28" s="10" t="n"/>
      <c r="N28" s="18" t="n"/>
      <c r="O28" s="10" t="n"/>
      <c r="P28" s="19" t="n"/>
      <c r="Q28" s="10" t="n"/>
      <c r="R28" s="18" t="n"/>
      <c r="S28" s="20">
        <f>IF(COUNTA(B28:R28)=0,"",IF((IF(((B28="")+(C28="")+(D28="")+(E28="")+(F28="")+(H28="")+(I28="")+(J28="")+(M28="")+(Q28=""))&gt;0,"• حقول إلزامية ناقصة ","")&amp;IF(AND(D28&lt;&gt;"",COUNTIF($D$6:$D$205,D28)&gt;1),"• اسم المستخدم مكرر ","")&amp;IF(AND(D28&lt;&gt;"",ISNUMBER(SEARCH(" ",D28))),"• اسم المستخدم فيه مسافة ","")&amp;IF(AND(E28&lt;&gt;"",OR(ISERROR(SEARCH("@",E28)),ISERROR(SEARCH(".",E28)))),"• البريد غير صحيح ","")&amp;IF(AND(F28&lt;&gt;"",OR(LEN(F28)&lt;&gt;10,LEFT(F28,2)&lt;&gt;"05",ISERROR(--F28))),"• الجوال ليس بصيغة 05XXXXXXXX ","")&amp;IF(AND(L28&lt;&gt;"",OR(LEN(L28)&lt;2,LEN(L28)&gt;6,ISERROR(--L28),ISNUMBER(SEARCH(".",L28)))),"• التحويلة يجب أن تكون 2-6 أرقام ","")&amp;IF(AND(L28&lt;&gt;"",COUNTIF($L$6:$L$205,L28)&gt;1),"• التحويلة مكررة ","")&amp;IF(AND(M28="نعم",L28=""),"• يجري مكالمات بدون تحويلة ","")&amp;IF(AND(K28&lt;&gt;"",COUNTIF($D$6:$D$205,K28)=0),"• المشرف غير موجود في الجدول ","")&amp;IF(AND(J28="موظف تحصيل",K28=""),"• موظف التحصيل يحتاج مشرفاً ","")&amp;IF(AND(O28&lt;&gt;"",P28=""),"• نوع الهدف بدون قيمة ",""))="","✔ مكتمل",IF(((B28="")+(C28="")+(D28="")+(E28="")+(F28="")+(H28="")+(I28="")+(J28="")+(M28="")+(Q28=""))&gt;0,"• حقول إلزامية ناقصة ","")&amp;IF(AND(D28&lt;&gt;"",COUNTIF($D$6:$D$205,D28)&gt;1),"• اسم المستخدم مكرر ","")&amp;IF(AND(D28&lt;&gt;"",ISNUMBER(SEARCH(" ",D28))),"• اسم المستخدم فيه مسافة ","")&amp;IF(AND(E28&lt;&gt;"",OR(ISERROR(SEARCH("@",E28)),ISERROR(SEARCH(".",E28)))),"• البريد غير صحيح ","")&amp;IF(AND(F28&lt;&gt;"",OR(LEN(F28)&lt;&gt;10,LEFT(F28,2)&lt;&gt;"05",ISERROR(--F28))),"• الجوال ليس بصيغة 05XXXXXXXX ","")&amp;IF(AND(L28&lt;&gt;"",OR(LEN(L28)&lt;2,LEN(L28)&gt;6,ISERROR(--L28),ISNUMBER(SEARCH(".",L28)))),"• التحويلة يجب أن تكون 2-6 أرقام ","")&amp;IF(AND(L28&lt;&gt;"",COUNTIF($L$6:$L$205,L28)&gt;1),"• التحويلة مكررة ","")&amp;IF(AND(M28="نعم",L28=""),"• يجري مكالمات بدون تحويلة ","")&amp;IF(AND(K28&lt;&gt;"",COUNTIF($D$6:$D$205,K28)=0),"• المشرف غير موجود في الجدول ","")&amp;IF(AND(J28="موظف تحصيل",K28=""),"• موظف التحصيل يحتاج مشرفاً ","")&amp;IF(AND(O28&lt;&gt;"",P28=""),"• نوع الهدف بدون قيمة ","")))</f>
        <v/>
      </c>
    </row>
    <row r="29">
      <c r="A29" s="17">
        <f>IF(COUNTA(B29:R29)=0,"",ROW()-5)</f>
        <v/>
      </c>
      <c r="B29" s="18" t="n"/>
      <c r="C29" s="18" t="n"/>
      <c r="D29" s="18" t="n"/>
      <c r="E29" s="18" t="n"/>
      <c r="F29" s="18" t="n"/>
      <c r="G29" s="18" t="n"/>
      <c r="H29" s="10" t="n"/>
      <c r="I29" s="10" t="n"/>
      <c r="J29" s="10" t="n"/>
      <c r="K29" s="10" t="n"/>
      <c r="L29" s="18" t="n"/>
      <c r="M29" s="10" t="n"/>
      <c r="N29" s="18" t="n"/>
      <c r="O29" s="10" t="n"/>
      <c r="P29" s="19" t="n"/>
      <c r="Q29" s="10" t="n"/>
      <c r="R29" s="18" t="n"/>
      <c r="S29" s="20">
        <f>IF(COUNTA(B29:R29)=0,"",IF((IF(((B29="")+(C29="")+(D29="")+(E29="")+(F29="")+(H29="")+(I29="")+(J29="")+(M29="")+(Q29=""))&gt;0,"• حقول إلزامية ناقصة ","")&amp;IF(AND(D29&lt;&gt;"",COUNTIF($D$6:$D$205,D29)&gt;1),"• اسم المستخدم مكرر ","")&amp;IF(AND(D29&lt;&gt;"",ISNUMBER(SEARCH(" ",D29))),"• اسم المستخدم فيه مسافة ","")&amp;IF(AND(E29&lt;&gt;"",OR(ISERROR(SEARCH("@",E29)),ISERROR(SEARCH(".",E29)))),"• البريد غير صحيح ","")&amp;IF(AND(F29&lt;&gt;"",OR(LEN(F29)&lt;&gt;10,LEFT(F29,2)&lt;&gt;"05",ISERROR(--F29))),"• الجوال ليس بصيغة 05XXXXXXXX ","")&amp;IF(AND(L29&lt;&gt;"",OR(LEN(L29)&lt;2,LEN(L29)&gt;6,ISERROR(--L29),ISNUMBER(SEARCH(".",L29)))),"• التحويلة يجب أن تكون 2-6 أرقام ","")&amp;IF(AND(L29&lt;&gt;"",COUNTIF($L$6:$L$205,L29)&gt;1),"• التحويلة مكررة ","")&amp;IF(AND(M29="نعم",L29=""),"• يجري مكالمات بدون تحويلة ","")&amp;IF(AND(K29&lt;&gt;"",COUNTIF($D$6:$D$205,K29)=0),"• المشرف غير موجود في الجدول ","")&amp;IF(AND(J29="موظف تحصيل",K29=""),"• موظف التحصيل يحتاج مشرفاً ","")&amp;IF(AND(O29&lt;&gt;"",P29=""),"• نوع الهدف بدون قيمة ",""))="","✔ مكتمل",IF(((B29="")+(C29="")+(D29="")+(E29="")+(F29="")+(H29="")+(I29="")+(J29="")+(M29="")+(Q29=""))&gt;0,"• حقول إلزامية ناقصة ","")&amp;IF(AND(D29&lt;&gt;"",COUNTIF($D$6:$D$205,D29)&gt;1),"• اسم المستخدم مكرر ","")&amp;IF(AND(D29&lt;&gt;"",ISNUMBER(SEARCH(" ",D29))),"• اسم المستخدم فيه مسافة ","")&amp;IF(AND(E29&lt;&gt;"",OR(ISERROR(SEARCH("@",E29)),ISERROR(SEARCH(".",E29)))),"• البريد غير صحيح ","")&amp;IF(AND(F29&lt;&gt;"",OR(LEN(F29)&lt;&gt;10,LEFT(F29,2)&lt;&gt;"05",ISERROR(--F29))),"• الجوال ليس بصيغة 05XXXXXXXX ","")&amp;IF(AND(L29&lt;&gt;"",OR(LEN(L29)&lt;2,LEN(L29)&gt;6,ISERROR(--L29),ISNUMBER(SEARCH(".",L29)))),"• التحويلة يجب أن تكون 2-6 أرقام ","")&amp;IF(AND(L29&lt;&gt;"",COUNTIF($L$6:$L$205,L29)&gt;1),"• التحويلة مكررة ","")&amp;IF(AND(M29="نعم",L29=""),"• يجري مكالمات بدون تحويلة ","")&amp;IF(AND(K29&lt;&gt;"",COUNTIF($D$6:$D$205,K29)=0),"• المشرف غير موجود في الجدول ","")&amp;IF(AND(J29="موظف تحصيل",K29=""),"• موظف التحصيل يحتاج مشرفاً ","")&amp;IF(AND(O29&lt;&gt;"",P29=""),"• نوع الهدف بدون قيمة ","")))</f>
        <v/>
      </c>
    </row>
    <row r="30">
      <c r="A30" s="17">
        <f>IF(COUNTA(B30:R30)=0,"",ROW()-5)</f>
        <v/>
      </c>
      <c r="B30" s="18" t="n"/>
      <c r="C30" s="18" t="n"/>
      <c r="D30" s="18" t="n"/>
      <c r="E30" s="18" t="n"/>
      <c r="F30" s="18" t="n"/>
      <c r="G30" s="18" t="n"/>
      <c r="H30" s="10" t="n"/>
      <c r="I30" s="10" t="n"/>
      <c r="J30" s="10" t="n"/>
      <c r="K30" s="10" t="n"/>
      <c r="L30" s="18" t="n"/>
      <c r="M30" s="10" t="n"/>
      <c r="N30" s="18" t="n"/>
      <c r="O30" s="10" t="n"/>
      <c r="P30" s="19" t="n"/>
      <c r="Q30" s="10" t="n"/>
      <c r="R30" s="18" t="n"/>
      <c r="S30" s="20">
        <f>IF(COUNTA(B30:R30)=0,"",IF((IF(((B30="")+(C30="")+(D30="")+(E30="")+(F30="")+(H30="")+(I30="")+(J30="")+(M30="")+(Q30=""))&gt;0,"• حقول إلزامية ناقصة ","")&amp;IF(AND(D30&lt;&gt;"",COUNTIF($D$6:$D$205,D30)&gt;1),"• اسم المستخدم مكرر ","")&amp;IF(AND(D30&lt;&gt;"",ISNUMBER(SEARCH(" ",D30))),"• اسم المستخدم فيه مسافة ","")&amp;IF(AND(E30&lt;&gt;"",OR(ISERROR(SEARCH("@",E30)),ISERROR(SEARCH(".",E30)))),"• البريد غير صحيح ","")&amp;IF(AND(F30&lt;&gt;"",OR(LEN(F30)&lt;&gt;10,LEFT(F30,2)&lt;&gt;"05",ISERROR(--F30))),"• الجوال ليس بصيغة 05XXXXXXXX ","")&amp;IF(AND(L30&lt;&gt;"",OR(LEN(L30)&lt;2,LEN(L30)&gt;6,ISERROR(--L30),ISNUMBER(SEARCH(".",L30)))),"• التحويلة يجب أن تكون 2-6 أرقام ","")&amp;IF(AND(L30&lt;&gt;"",COUNTIF($L$6:$L$205,L30)&gt;1),"• التحويلة مكررة ","")&amp;IF(AND(M30="نعم",L30=""),"• يجري مكالمات بدون تحويلة ","")&amp;IF(AND(K30&lt;&gt;"",COUNTIF($D$6:$D$205,K30)=0),"• المشرف غير موجود في الجدول ","")&amp;IF(AND(J30="موظف تحصيل",K30=""),"• موظف التحصيل يحتاج مشرفاً ","")&amp;IF(AND(O30&lt;&gt;"",P30=""),"• نوع الهدف بدون قيمة ",""))="","✔ مكتمل",IF(((B30="")+(C30="")+(D30="")+(E30="")+(F30="")+(H30="")+(I30="")+(J30="")+(M30="")+(Q30=""))&gt;0,"• حقول إلزامية ناقصة ","")&amp;IF(AND(D30&lt;&gt;"",COUNTIF($D$6:$D$205,D30)&gt;1),"• اسم المستخدم مكرر ","")&amp;IF(AND(D30&lt;&gt;"",ISNUMBER(SEARCH(" ",D30))),"• اسم المستخدم فيه مسافة ","")&amp;IF(AND(E30&lt;&gt;"",OR(ISERROR(SEARCH("@",E30)),ISERROR(SEARCH(".",E30)))),"• البريد غير صحيح ","")&amp;IF(AND(F30&lt;&gt;"",OR(LEN(F30)&lt;&gt;10,LEFT(F30,2)&lt;&gt;"05",ISERROR(--F30))),"• الجوال ليس بصيغة 05XXXXXXXX ","")&amp;IF(AND(L30&lt;&gt;"",OR(LEN(L30)&lt;2,LEN(L30)&gt;6,ISERROR(--L30),ISNUMBER(SEARCH(".",L30)))),"• التحويلة يجب أن تكون 2-6 أرقام ","")&amp;IF(AND(L30&lt;&gt;"",COUNTIF($L$6:$L$205,L30)&gt;1),"• التحويلة مكررة ","")&amp;IF(AND(M30="نعم",L30=""),"• يجري مكالمات بدون تحويلة ","")&amp;IF(AND(K30&lt;&gt;"",COUNTIF($D$6:$D$205,K30)=0),"• المشرف غير موجود في الجدول ","")&amp;IF(AND(J30="موظف تحصيل",K30=""),"• موظف التحصيل يحتاج مشرفاً ","")&amp;IF(AND(O30&lt;&gt;"",P30=""),"• نوع الهدف بدون قيمة ","")))</f>
        <v/>
      </c>
    </row>
    <row r="31">
      <c r="A31" s="17">
        <f>IF(COUNTA(B31:R31)=0,"",ROW()-5)</f>
        <v/>
      </c>
      <c r="B31" s="18" t="n"/>
      <c r="C31" s="18" t="n"/>
      <c r="D31" s="18" t="n"/>
      <c r="E31" s="18" t="n"/>
      <c r="F31" s="18" t="n"/>
      <c r="G31" s="18" t="n"/>
      <c r="H31" s="10" t="n"/>
      <c r="I31" s="10" t="n"/>
      <c r="J31" s="10" t="n"/>
      <c r="K31" s="10" t="n"/>
      <c r="L31" s="18" t="n"/>
      <c r="M31" s="10" t="n"/>
      <c r="N31" s="18" t="n"/>
      <c r="O31" s="10" t="n"/>
      <c r="P31" s="19" t="n"/>
      <c r="Q31" s="10" t="n"/>
      <c r="R31" s="18" t="n"/>
      <c r="S31" s="20">
        <f>IF(COUNTA(B31:R31)=0,"",IF((IF(((B31="")+(C31="")+(D31="")+(E31="")+(F31="")+(H31="")+(I31="")+(J31="")+(M31="")+(Q31=""))&gt;0,"• حقول إلزامية ناقصة ","")&amp;IF(AND(D31&lt;&gt;"",COUNTIF($D$6:$D$205,D31)&gt;1),"• اسم المستخدم مكرر ","")&amp;IF(AND(D31&lt;&gt;"",ISNUMBER(SEARCH(" ",D31))),"• اسم المستخدم فيه مسافة ","")&amp;IF(AND(E31&lt;&gt;"",OR(ISERROR(SEARCH("@",E31)),ISERROR(SEARCH(".",E31)))),"• البريد غير صحيح ","")&amp;IF(AND(F31&lt;&gt;"",OR(LEN(F31)&lt;&gt;10,LEFT(F31,2)&lt;&gt;"05",ISERROR(--F31))),"• الجوال ليس بصيغة 05XXXXXXXX ","")&amp;IF(AND(L31&lt;&gt;"",OR(LEN(L31)&lt;2,LEN(L31)&gt;6,ISERROR(--L31),ISNUMBER(SEARCH(".",L31)))),"• التحويلة يجب أن تكون 2-6 أرقام ","")&amp;IF(AND(L31&lt;&gt;"",COUNTIF($L$6:$L$205,L31)&gt;1),"• التحويلة مكررة ","")&amp;IF(AND(M31="نعم",L31=""),"• يجري مكالمات بدون تحويلة ","")&amp;IF(AND(K31&lt;&gt;"",COUNTIF($D$6:$D$205,K31)=0),"• المشرف غير موجود في الجدول ","")&amp;IF(AND(J31="موظف تحصيل",K31=""),"• موظف التحصيل يحتاج مشرفاً ","")&amp;IF(AND(O31&lt;&gt;"",P31=""),"• نوع الهدف بدون قيمة ",""))="","✔ مكتمل",IF(((B31="")+(C31="")+(D31="")+(E31="")+(F31="")+(H31="")+(I31="")+(J31="")+(M31="")+(Q31=""))&gt;0,"• حقول إلزامية ناقصة ","")&amp;IF(AND(D31&lt;&gt;"",COUNTIF($D$6:$D$205,D31)&gt;1),"• اسم المستخدم مكرر ","")&amp;IF(AND(D31&lt;&gt;"",ISNUMBER(SEARCH(" ",D31))),"• اسم المستخدم فيه مسافة ","")&amp;IF(AND(E31&lt;&gt;"",OR(ISERROR(SEARCH("@",E31)),ISERROR(SEARCH(".",E31)))),"• البريد غير صحيح ","")&amp;IF(AND(F31&lt;&gt;"",OR(LEN(F31)&lt;&gt;10,LEFT(F31,2)&lt;&gt;"05",ISERROR(--F31))),"• الجوال ليس بصيغة 05XXXXXXXX ","")&amp;IF(AND(L31&lt;&gt;"",OR(LEN(L31)&lt;2,LEN(L31)&gt;6,ISERROR(--L31),ISNUMBER(SEARCH(".",L31)))),"• التحويلة يجب أن تكون 2-6 أرقام ","")&amp;IF(AND(L31&lt;&gt;"",COUNTIF($L$6:$L$205,L31)&gt;1),"• التحويلة مكررة ","")&amp;IF(AND(M31="نعم",L31=""),"• يجري مكالمات بدون تحويلة ","")&amp;IF(AND(K31&lt;&gt;"",COUNTIF($D$6:$D$205,K31)=0),"• المشرف غير موجود في الجدول ","")&amp;IF(AND(J31="موظف تحصيل",K31=""),"• موظف التحصيل يحتاج مشرفاً ","")&amp;IF(AND(O31&lt;&gt;"",P31=""),"• نوع الهدف بدون قيمة ","")))</f>
        <v/>
      </c>
    </row>
    <row r="32">
      <c r="A32" s="17">
        <f>IF(COUNTA(B32:R32)=0,"",ROW()-5)</f>
        <v/>
      </c>
      <c r="B32" s="18" t="n"/>
      <c r="C32" s="18" t="n"/>
      <c r="D32" s="18" t="n"/>
      <c r="E32" s="18" t="n"/>
      <c r="F32" s="18" t="n"/>
      <c r="G32" s="18" t="n"/>
      <c r="H32" s="10" t="n"/>
      <c r="I32" s="10" t="n"/>
      <c r="J32" s="10" t="n"/>
      <c r="K32" s="10" t="n"/>
      <c r="L32" s="18" t="n"/>
      <c r="M32" s="10" t="n"/>
      <c r="N32" s="18" t="n"/>
      <c r="O32" s="10" t="n"/>
      <c r="P32" s="19" t="n"/>
      <c r="Q32" s="10" t="n"/>
      <c r="R32" s="18" t="n"/>
      <c r="S32" s="20">
        <f>IF(COUNTA(B32:R32)=0,"",IF((IF(((B32="")+(C32="")+(D32="")+(E32="")+(F32="")+(H32="")+(I32="")+(J32="")+(M32="")+(Q32=""))&gt;0,"• حقول إلزامية ناقصة ","")&amp;IF(AND(D32&lt;&gt;"",COUNTIF($D$6:$D$205,D32)&gt;1),"• اسم المستخدم مكرر ","")&amp;IF(AND(D32&lt;&gt;"",ISNUMBER(SEARCH(" ",D32))),"• اسم المستخدم فيه مسافة ","")&amp;IF(AND(E32&lt;&gt;"",OR(ISERROR(SEARCH("@",E32)),ISERROR(SEARCH(".",E32)))),"• البريد غير صحيح ","")&amp;IF(AND(F32&lt;&gt;"",OR(LEN(F32)&lt;&gt;10,LEFT(F32,2)&lt;&gt;"05",ISERROR(--F32))),"• الجوال ليس بصيغة 05XXXXXXXX ","")&amp;IF(AND(L32&lt;&gt;"",OR(LEN(L32)&lt;2,LEN(L32)&gt;6,ISERROR(--L32),ISNUMBER(SEARCH(".",L32)))),"• التحويلة يجب أن تكون 2-6 أرقام ","")&amp;IF(AND(L32&lt;&gt;"",COUNTIF($L$6:$L$205,L32)&gt;1),"• التحويلة مكررة ","")&amp;IF(AND(M32="نعم",L32=""),"• يجري مكالمات بدون تحويلة ","")&amp;IF(AND(K32&lt;&gt;"",COUNTIF($D$6:$D$205,K32)=0),"• المشرف غير موجود في الجدول ","")&amp;IF(AND(J32="موظف تحصيل",K32=""),"• موظف التحصيل يحتاج مشرفاً ","")&amp;IF(AND(O32&lt;&gt;"",P32=""),"• نوع الهدف بدون قيمة ",""))="","✔ مكتمل",IF(((B32="")+(C32="")+(D32="")+(E32="")+(F32="")+(H32="")+(I32="")+(J32="")+(M32="")+(Q32=""))&gt;0,"• حقول إلزامية ناقصة ","")&amp;IF(AND(D32&lt;&gt;"",COUNTIF($D$6:$D$205,D32)&gt;1),"• اسم المستخدم مكرر ","")&amp;IF(AND(D32&lt;&gt;"",ISNUMBER(SEARCH(" ",D32))),"• اسم المستخدم فيه مسافة ","")&amp;IF(AND(E32&lt;&gt;"",OR(ISERROR(SEARCH("@",E32)),ISERROR(SEARCH(".",E32)))),"• البريد غير صحيح ","")&amp;IF(AND(F32&lt;&gt;"",OR(LEN(F32)&lt;&gt;10,LEFT(F32,2)&lt;&gt;"05",ISERROR(--F32))),"• الجوال ليس بصيغة 05XXXXXXXX ","")&amp;IF(AND(L32&lt;&gt;"",OR(LEN(L32)&lt;2,LEN(L32)&gt;6,ISERROR(--L32),ISNUMBER(SEARCH(".",L32)))),"• التحويلة يجب أن تكون 2-6 أرقام ","")&amp;IF(AND(L32&lt;&gt;"",COUNTIF($L$6:$L$205,L32)&gt;1),"• التحويلة مكررة ","")&amp;IF(AND(M32="نعم",L32=""),"• يجري مكالمات بدون تحويلة ","")&amp;IF(AND(K32&lt;&gt;"",COUNTIF($D$6:$D$205,K32)=0),"• المشرف غير موجود في الجدول ","")&amp;IF(AND(J32="موظف تحصيل",K32=""),"• موظف التحصيل يحتاج مشرفاً ","")&amp;IF(AND(O32&lt;&gt;"",P32=""),"• نوع الهدف بدون قيمة ","")))</f>
        <v/>
      </c>
    </row>
    <row r="33">
      <c r="A33" s="17">
        <f>IF(COUNTA(B33:R33)=0,"",ROW()-5)</f>
        <v/>
      </c>
      <c r="B33" s="18" t="n"/>
      <c r="C33" s="18" t="n"/>
      <c r="D33" s="18" t="n"/>
      <c r="E33" s="18" t="n"/>
      <c r="F33" s="18" t="n"/>
      <c r="G33" s="18" t="n"/>
      <c r="H33" s="10" t="n"/>
      <c r="I33" s="10" t="n"/>
      <c r="J33" s="10" t="n"/>
      <c r="K33" s="10" t="n"/>
      <c r="L33" s="18" t="n"/>
      <c r="M33" s="10" t="n"/>
      <c r="N33" s="18" t="n"/>
      <c r="O33" s="10" t="n"/>
      <c r="P33" s="19" t="n"/>
      <c r="Q33" s="10" t="n"/>
      <c r="R33" s="18" t="n"/>
      <c r="S33" s="20">
        <f>IF(COUNTA(B33:R33)=0,"",IF((IF(((B33="")+(C33="")+(D33="")+(E33="")+(F33="")+(H33="")+(I33="")+(J33="")+(M33="")+(Q33=""))&gt;0,"• حقول إلزامية ناقصة ","")&amp;IF(AND(D33&lt;&gt;"",COUNTIF($D$6:$D$205,D33)&gt;1),"• اسم المستخدم مكرر ","")&amp;IF(AND(D33&lt;&gt;"",ISNUMBER(SEARCH(" ",D33))),"• اسم المستخدم فيه مسافة ","")&amp;IF(AND(E33&lt;&gt;"",OR(ISERROR(SEARCH("@",E33)),ISERROR(SEARCH(".",E33)))),"• البريد غير صحيح ","")&amp;IF(AND(F33&lt;&gt;"",OR(LEN(F33)&lt;&gt;10,LEFT(F33,2)&lt;&gt;"05",ISERROR(--F33))),"• الجوال ليس بصيغة 05XXXXXXXX ","")&amp;IF(AND(L33&lt;&gt;"",OR(LEN(L33)&lt;2,LEN(L33)&gt;6,ISERROR(--L33),ISNUMBER(SEARCH(".",L33)))),"• التحويلة يجب أن تكون 2-6 أرقام ","")&amp;IF(AND(L33&lt;&gt;"",COUNTIF($L$6:$L$205,L33)&gt;1),"• التحويلة مكررة ","")&amp;IF(AND(M33="نعم",L33=""),"• يجري مكالمات بدون تحويلة ","")&amp;IF(AND(K33&lt;&gt;"",COUNTIF($D$6:$D$205,K33)=0),"• المشرف غير موجود في الجدول ","")&amp;IF(AND(J33="موظف تحصيل",K33=""),"• موظف التحصيل يحتاج مشرفاً ","")&amp;IF(AND(O33&lt;&gt;"",P33=""),"• نوع الهدف بدون قيمة ",""))="","✔ مكتمل",IF(((B33="")+(C33="")+(D33="")+(E33="")+(F33="")+(H33="")+(I33="")+(J33="")+(M33="")+(Q33=""))&gt;0,"• حقول إلزامية ناقصة ","")&amp;IF(AND(D33&lt;&gt;"",COUNTIF($D$6:$D$205,D33)&gt;1),"• اسم المستخدم مكرر ","")&amp;IF(AND(D33&lt;&gt;"",ISNUMBER(SEARCH(" ",D33))),"• اسم المستخدم فيه مسافة ","")&amp;IF(AND(E33&lt;&gt;"",OR(ISERROR(SEARCH("@",E33)),ISERROR(SEARCH(".",E33)))),"• البريد غير صحيح ","")&amp;IF(AND(F33&lt;&gt;"",OR(LEN(F33)&lt;&gt;10,LEFT(F33,2)&lt;&gt;"05",ISERROR(--F33))),"• الجوال ليس بصيغة 05XXXXXXXX ","")&amp;IF(AND(L33&lt;&gt;"",OR(LEN(L33)&lt;2,LEN(L33)&gt;6,ISERROR(--L33),ISNUMBER(SEARCH(".",L33)))),"• التحويلة يجب أن تكون 2-6 أرقام ","")&amp;IF(AND(L33&lt;&gt;"",COUNTIF($L$6:$L$205,L33)&gt;1),"• التحويلة مكررة ","")&amp;IF(AND(M33="نعم",L33=""),"• يجري مكالمات بدون تحويلة ","")&amp;IF(AND(K33&lt;&gt;"",COUNTIF($D$6:$D$205,K33)=0),"• المشرف غير موجود في الجدول ","")&amp;IF(AND(J33="موظف تحصيل",K33=""),"• موظف التحصيل يحتاج مشرفاً ","")&amp;IF(AND(O33&lt;&gt;"",P33=""),"• نوع الهدف بدون قيمة ","")))</f>
        <v/>
      </c>
    </row>
    <row r="34">
      <c r="A34" s="17">
        <f>IF(COUNTA(B34:R34)=0,"",ROW()-5)</f>
        <v/>
      </c>
      <c r="B34" s="18" t="n"/>
      <c r="C34" s="18" t="n"/>
      <c r="D34" s="18" t="n"/>
      <c r="E34" s="18" t="n"/>
      <c r="F34" s="18" t="n"/>
      <c r="G34" s="18" t="n"/>
      <c r="H34" s="10" t="n"/>
      <c r="I34" s="10" t="n"/>
      <c r="J34" s="10" t="n"/>
      <c r="K34" s="10" t="n"/>
      <c r="L34" s="18" t="n"/>
      <c r="M34" s="10" t="n"/>
      <c r="N34" s="18" t="n"/>
      <c r="O34" s="10" t="n"/>
      <c r="P34" s="19" t="n"/>
      <c r="Q34" s="10" t="n"/>
      <c r="R34" s="18" t="n"/>
      <c r="S34" s="20">
        <f>IF(COUNTA(B34:R34)=0,"",IF((IF(((B34="")+(C34="")+(D34="")+(E34="")+(F34="")+(H34="")+(I34="")+(J34="")+(M34="")+(Q34=""))&gt;0,"• حقول إلزامية ناقصة ","")&amp;IF(AND(D34&lt;&gt;"",COUNTIF($D$6:$D$205,D34)&gt;1),"• اسم المستخدم مكرر ","")&amp;IF(AND(D34&lt;&gt;"",ISNUMBER(SEARCH(" ",D34))),"• اسم المستخدم فيه مسافة ","")&amp;IF(AND(E34&lt;&gt;"",OR(ISERROR(SEARCH("@",E34)),ISERROR(SEARCH(".",E34)))),"• البريد غير صحيح ","")&amp;IF(AND(F34&lt;&gt;"",OR(LEN(F34)&lt;&gt;10,LEFT(F34,2)&lt;&gt;"05",ISERROR(--F34))),"• الجوال ليس بصيغة 05XXXXXXXX ","")&amp;IF(AND(L34&lt;&gt;"",OR(LEN(L34)&lt;2,LEN(L34)&gt;6,ISERROR(--L34),ISNUMBER(SEARCH(".",L34)))),"• التحويلة يجب أن تكون 2-6 أرقام ","")&amp;IF(AND(L34&lt;&gt;"",COUNTIF($L$6:$L$205,L34)&gt;1),"• التحويلة مكررة ","")&amp;IF(AND(M34="نعم",L34=""),"• يجري مكالمات بدون تحويلة ","")&amp;IF(AND(K34&lt;&gt;"",COUNTIF($D$6:$D$205,K34)=0),"• المشرف غير موجود في الجدول ","")&amp;IF(AND(J34="موظف تحصيل",K34=""),"• موظف التحصيل يحتاج مشرفاً ","")&amp;IF(AND(O34&lt;&gt;"",P34=""),"• نوع الهدف بدون قيمة ",""))="","✔ مكتمل",IF(((B34="")+(C34="")+(D34="")+(E34="")+(F34="")+(H34="")+(I34="")+(J34="")+(M34="")+(Q34=""))&gt;0,"• حقول إلزامية ناقصة ","")&amp;IF(AND(D34&lt;&gt;"",COUNTIF($D$6:$D$205,D34)&gt;1),"• اسم المستخدم مكرر ","")&amp;IF(AND(D34&lt;&gt;"",ISNUMBER(SEARCH(" ",D34))),"• اسم المستخدم فيه مسافة ","")&amp;IF(AND(E34&lt;&gt;"",OR(ISERROR(SEARCH("@",E34)),ISERROR(SEARCH(".",E34)))),"• البريد غير صحيح ","")&amp;IF(AND(F34&lt;&gt;"",OR(LEN(F34)&lt;&gt;10,LEFT(F34,2)&lt;&gt;"05",ISERROR(--F34))),"• الجوال ليس بصيغة 05XXXXXXXX ","")&amp;IF(AND(L34&lt;&gt;"",OR(LEN(L34)&lt;2,LEN(L34)&gt;6,ISERROR(--L34),ISNUMBER(SEARCH(".",L34)))),"• التحويلة يجب أن تكون 2-6 أرقام ","")&amp;IF(AND(L34&lt;&gt;"",COUNTIF($L$6:$L$205,L34)&gt;1),"• التحويلة مكررة ","")&amp;IF(AND(M34="نعم",L34=""),"• يجري مكالمات بدون تحويلة ","")&amp;IF(AND(K34&lt;&gt;"",COUNTIF($D$6:$D$205,K34)=0),"• المشرف غير موجود في الجدول ","")&amp;IF(AND(J34="موظف تحصيل",K34=""),"• موظف التحصيل يحتاج مشرفاً ","")&amp;IF(AND(O34&lt;&gt;"",P34=""),"• نوع الهدف بدون قيمة ","")))</f>
        <v/>
      </c>
    </row>
    <row r="35">
      <c r="A35" s="17">
        <f>IF(COUNTA(B35:R35)=0,"",ROW()-5)</f>
        <v/>
      </c>
      <c r="B35" s="18" t="n"/>
      <c r="C35" s="18" t="n"/>
      <c r="D35" s="18" t="n"/>
      <c r="E35" s="18" t="n"/>
      <c r="F35" s="18" t="n"/>
      <c r="G35" s="18" t="n"/>
      <c r="H35" s="10" t="n"/>
      <c r="I35" s="10" t="n"/>
      <c r="J35" s="10" t="n"/>
      <c r="K35" s="10" t="n"/>
      <c r="L35" s="18" t="n"/>
      <c r="M35" s="10" t="n"/>
      <c r="N35" s="18" t="n"/>
      <c r="O35" s="10" t="n"/>
      <c r="P35" s="19" t="n"/>
      <c r="Q35" s="10" t="n"/>
      <c r="R35" s="18" t="n"/>
      <c r="S35" s="20">
        <f>IF(COUNTA(B35:R35)=0,"",IF((IF(((B35="")+(C35="")+(D35="")+(E35="")+(F35="")+(H35="")+(I35="")+(J35="")+(M35="")+(Q35=""))&gt;0,"• حقول إلزامية ناقصة ","")&amp;IF(AND(D35&lt;&gt;"",COUNTIF($D$6:$D$205,D35)&gt;1),"• اسم المستخدم مكرر ","")&amp;IF(AND(D35&lt;&gt;"",ISNUMBER(SEARCH(" ",D35))),"• اسم المستخدم فيه مسافة ","")&amp;IF(AND(E35&lt;&gt;"",OR(ISERROR(SEARCH("@",E35)),ISERROR(SEARCH(".",E35)))),"• البريد غير صحيح ","")&amp;IF(AND(F35&lt;&gt;"",OR(LEN(F35)&lt;&gt;10,LEFT(F35,2)&lt;&gt;"05",ISERROR(--F35))),"• الجوال ليس بصيغة 05XXXXXXXX ","")&amp;IF(AND(L35&lt;&gt;"",OR(LEN(L35)&lt;2,LEN(L35)&gt;6,ISERROR(--L35),ISNUMBER(SEARCH(".",L35)))),"• التحويلة يجب أن تكون 2-6 أرقام ","")&amp;IF(AND(L35&lt;&gt;"",COUNTIF($L$6:$L$205,L35)&gt;1),"• التحويلة مكررة ","")&amp;IF(AND(M35="نعم",L35=""),"• يجري مكالمات بدون تحويلة ","")&amp;IF(AND(K35&lt;&gt;"",COUNTIF($D$6:$D$205,K35)=0),"• المشرف غير موجود في الجدول ","")&amp;IF(AND(J35="موظف تحصيل",K35=""),"• موظف التحصيل يحتاج مشرفاً ","")&amp;IF(AND(O35&lt;&gt;"",P35=""),"• نوع الهدف بدون قيمة ",""))="","✔ مكتمل",IF(((B35="")+(C35="")+(D35="")+(E35="")+(F35="")+(H35="")+(I35="")+(J35="")+(M35="")+(Q35=""))&gt;0,"• حقول إلزامية ناقصة ","")&amp;IF(AND(D35&lt;&gt;"",COUNTIF($D$6:$D$205,D35)&gt;1),"• اسم المستخدم مكرر ","")&amp;IF(AND(D35&lt;&gt;"",ISNUMBER(SEARCH(" ",D35))),"• اسم المستخدم فيه مسافة ","")&amp;IF(AND(E35&lt;&gt;"",OR(ISERROR(SEARCH("@",E35)),ISERROR(SEARCH(".",E35)))),"• البريد غير صحيح ","")&amp;IF(AND(F35&lt;&gt;"",OR(LEN(F35)&lt;&gt;10,LEFT(F35,2)&lt;&gt;"05",ISERROR(--F35))),"• الجوال ليس بصيغة 05XXXXXXXX ","")&amp;IF(AND(L35&lt;&gt;"",OR(LEN(L35)&lt;2,LEN(L35)&gt;6,ISERROR(--L35),ISNUMBER(SEARCH(".",L35)))),"• التحويلة يجب أن تكون 2-6 أرقام ","")&amp;IF(AND(L35&lt;&gt;"",COUNTIF($L$6:$L$205,L35)&gt;1),"• التحويلة مكررة ","")&amp;IF(AND(M35="نعم",L35=""),"• يجري مكالمات بدون تحويلة ","")&amp;IF(AND(K35&lt;&gt;"",COUNTIF($D$6:$D$205,K35)=0),"• المشرف غير موجود في الجدول ","")&amp;IF(AND(J35="موظف تحصيل",K35=""),"• موظف التحصيل يحتاج مشرفاً ","")&amp;IF(AND(O35&lt;&gt;"",P35=""),"• نوع الهدف بدون قيمة ","")))</f>
        <v/>
      </c>
    </row>
    <row r="36">
      <c r="A36" s="17">
        <f>IF(COUNTA(B36:R36)=0,"",ROW()-5)</f>
        <v/>
      </c>
      <c r="B36" s="18" t="n"/>
      <c r="C36" s="18" t="n"/>
      <c r="D36" s="18" t="n"/>
      <c r="E36" s="18" t="n"/>
      <c r="F36" s="18" t="n"/>
      <c r="G36" s="18" t="n"/>
      <c r="H36" s="10" t="n"/>
      <c r="I36" s="10" t="n"/>
      <c r="J36" s="10" t="n"/>
      <c r="K36" s="10" t="n"/>
      <c r="L36" s="18" t="n"/>
      <c r="M36" s="10" t="n"/>
      <c r="N36" s="18" t="n"/>
      <c r="O36" s="10" t="n"/>
      <c r="P36" s="19" t="n"/>
      <c r="Q36" s="10" t="n"/>
      <c r="R36" s="18" t="n"/>
      <c r="S36" s="20">
        <f>IF(COUNTA(B36:R36)=0,"",IF((IF(((B36="")+(C36="")+(D36="")+(E36="")+(F36="")+(H36="")+(I36="")+(J36="")+(M36="")+(Q36=""))&gt;0,"• حقول إلزامية ناقصة ","")&amp;IF(AND(D36&lt;&gt;"",COUNTIF($D$6:$D$205,D36)&gt;1),"• اسم المستخدم مكرر ","")&amp;IF(AND(D36&lt;&gt;"",ISNUMBER(SEARCH(" ",D36))),"• اسم المستخدم فيه مسافة ","")&amp;IF(AND(E36&lt;&gt;"",OR(ISERROR(SEARCH("@",E36)),ISERROR(SEARCH(".",E36)))),"• البريد غير صحيح ","")&amp;IF(AND(F36&lt;&gt;"",OR(LEN(F36)&lt;&gt;10,LEFT(F36,2)&lt;&gt;"05",ISERROR(--F36))),"• الجوال ليس بصيغة 05XXXXXXXX ","")&amp;IF(AND(L36&lt;&gt;"",OR(LEN(L36)&lt;2,LEN(L36)&gt;6,ISERROR(--L36),ISNUMBER(SEARCH(".",L36)))),"• التحويلة يجب أن تكون 2-6 أرقام ","")&amp;IF(AND(L36&lt;&gt;"",COUNTIF($L$6:$L$205,L36)&gt;1),"• التحويلة مكررة ","")&amp;IF(AND(M36="نعم",L36=""),"• يجري مكالمات بدون تحويلة ","")&amp;IF(AND(K36&lt;&gt;"",COUNTIF($D$6:$D$205,K36)=0),"• المشرف غير موجود في الجدول ","")&amp;IF(AND(J36="موظف تحصيل",K36=""),"• موظف التحصيل يحتاج مشرفاً ","")&amp;IF(AND(O36&lt;&gt;"",P36=""),"• نوع الهدف بدون قيمة ",""))="","✔ مكتمل",IF(((B36="")+(C36="")+(D36="")+(E36="")+(F36="")+(H36="")+(I36="")+(J36="")+(M36="")+(Q36=""))&gt;0,"• حقول إلزامية ناقصة ","")&amp;IF(AND(D36&lt;&gt;"",COUNTIF($D$6:$D$205,D36)&gt;1),"• اسم المستخدم مكرر ","")&amp;IF(AND(D36&lt;&gt;"",ISNUMBER(SEARCH(" ",D36))),"• اسم المستخدم فيه مسافة ","")&amp;IF(AND(E36&lt;&gt;"",OR(ISERROR(SEARCH("@",E36)),ISERROR(SEARCH(".",E36)))),"• البريد غير صحيح ","")&amp;IF(AND(F36&lt;&gt;"",OR(LEN(F36)&lt;&gt;10,LEFT(F36,2)&lt;&gt;"05",ISERROR(--F36))),"• الجوال ليس بصيغة 05XXXXXXXX ","")&amp;IF(AND(L36&lt;&gt;"",OR(LEN(L36)&lt;2,LEN(L36)&gt;6,ISERROR(--L36),ISNUMBER(SEARCH(".",L36)))),"• التحويلة يجب أن تكون 2-6 أرقام ","")&amp;IF(AND(L36&lt;&gt;"",COUNTIF($L$6:$L$205,L36)&gt;1),"• التحويلة مكررة ","")&amp;IF(AND(M36="نعم",L36=""),"• يجري مكالمات بدون تحويلة ","")&amp;IF(AND(K36&lt;&gt;"",COUNTIF($D$6:$D$205,K36)=0),"• المشرف غير موجود في الجدول ","")&amp;IF(AND(J36="موظف تحصيل",K36=""),"• موظف التحصيل يحتاج مشرفاً ","")&amp;IF(AND(O36&lt;&gt;"",P36=""),"• نوع الهدف بدون قيمة ","")))</f>
        <v/>
      </c>
    </row>
    <row r="37">
      <c r="A37" s="17">
        <f>IF(COUNTA(B37:R37)=0,"",ROW()-5)</f>
        <v/>
      </c>
      <c r="B37" s="18" t="n"/>
      <c r="C37" s="18" t="n"/>
      <c r="D37" s="18" t="n"/>
      <c r="E37" s="18" t="n"/>
      <c r="F37" s="18" t="n"/>
      <c r="G37" s="18" t="n"/>
      <c r="H37" s="10" t="n"/>
      <c r="I37" s="10" t="n"/>
      <c r="J37" s="10" t="n"/>
      <c r="K37" s="10" t="n"/>
      <c r="L37" s="18" t="n"/>
      <c r="M37" s="10" t="n"/>
      <c r="N37" s="18" t="n"/>
      <c r="O37" s="10" t="n"/>
      <c r="P37" s="19" t="n"/>
      <c r="Q37" s="10" t="n"/>
      <c r="R37" s="18" t="n"/>
      <c r="S37" s="20">
        <f>IF(COUNTA(B37:R37)=0,"",IF((IF(((B37="")+(C37="")+(D37="")+(E37="")+(F37="")+(H37="")+(I37="")+(J37="")+(M37="")+(Q37=""))&gt;0,"• حقول إلزامية ناقصة ","")&amp;IF(AND(D37&lt;&gt;"",COUNTIF($D$6:$D$205,D37)&gt;1),"• اسم المستخدم مكرر ","")&amp;IF(AND(D37&lt;&gt;"",ISNUMBER(SEARCH(" ",D37))),"• اسم المستخدم فيه مسافة ","")&amp;IF(AND(E37&lt;&gt;"",OR(ISERROR(SEARCH("@",E37)),ISERROR(SEARCH(".",E37)))),"• البريد غير صحيح ","")&amp;IF(AND(F37&lt;&gt;"",OR(LEN(F37)&lt;&gt;10,LEFT(F37,2)&lt;&gt;"05",ISERROR(--F37))),"• الجوال ليس بصيغة 05XXXXXXXX ","")&amp;IF(AND(L37&lt;&gt;"",OR(LEN(L37)&lt;2,LEN(L37)&gt;6,ISERROR(--L37),ISNUMBER(SEARCH(".",L37)))),"• التحويلة يجب أن تكون 2-6 أرقام ","")&amp;IF(AND(L37&lt;&gt;"",COUNTIF($L$6:$L$205,L37)&gt;1),"• التحويلة مكررة ","")&amp;IF(AND(M37="نعم",L37=""),"• يجري مكالمات بدون تحويلة ","")&amp;IF(AND(K37&lt;&gt;"",COUNTIF($D$6:$D$205,K37)=0),"• المشرف غير موجود في الجدول ","")&amp;IF(AND(J37="موظف تحصيل",K37=""),"• موظف التحصيل يحتاج مشرفاً ","")&amp;IF(AND(O37&lt;&gt;"",P37=""),"• نوع الهدف بدون قيمة ",""))="","✔ مكتمل",IF(((B37="")+(C37="")+(D37="")+(E37="")+(F37="")+(H37="")+(I37="")+(J37="")+(M37="")+(Q37=""))&gt;0,"• حقول إلزامية ناقصة ","")&amp;IF(AND(D37&lt;&gt;"",COUNTIF($D$6:$D$205,D37)&gt;1),"• اسم المستخدم مكرر ","")&amp;IF(AND(D37&lt;&gt;"",ISNUMBER(SEARCH(" ",D37))),"• اسم المستخدم فيه مسافة ","")&amp;IF(AND(E37&lt;&gt;"",OR(ISERROR(SEARCH("@",E37)),ISERROR(SEARCH(".",E37)))),"• البريد غير صحيح ","")&amp;IF(AND(F37&lt;&gt;"",OR(LEN(F37)&lt;&gt;10,LEFT(F37,2)&lt;&gt;"05",ISERROR(--F37))),"• الجوال ليس بصيغة 05XXXXXXXX ","")&amp;IF(AND(L37&lt;&gt;"",OR(LEN(L37)&lt;2,LEN(L37)&gt;6,ISERROR(--L37),ISNUMBER(SEARCH(".",L37)))),"• التحويلة يجب أن تكون 2-6 أرقام ","")&amp;IF(AND(L37&lt;&gt;"",COUNTIF($L$6:$L$205,L37)&gt;1),"• التحويلة مكررة ","")&amp;IF(AND(M37="نعم",L37=""),"• يجري مكالمات بدون تحويلة ","")&amp;IF(AND(K37&lt;&gt;"",COUNTIF($D$6:$D$205,K37)=0),"• المشرف غير موجود في الجدول ","")&amp;IF(AND(J37="موظف تحصيل",K37=""),"• موظف التحصيل يحتاج مشرفاً ","")&amp;IF(AND(O37&lt;&gt;"",P37=""),"• نوع الهدف بدون قيمة ","")))</f>
        <v/>
      </c>
    </row>
    <row r="38">
      <c r="A38" s="17">
        <f>IF(COUNTA(B38:R38)=0,"",ROW()-5)</f>
        <v/>
      </c>
      <c r="B38" s="18" t="n"/>
      <c r="C38" s="18" t="n"/>
      <c r="D38" s="18" t="n"/>
      <c r="E38" s="18" t="n"/>
      <c r="F38" s="18" t="n"/>
      <c r="G38" s="18" t="n"/>
      <c r="H38" s="10" t="n"/>
      <c r="I38" s="10" t="n"/>
      <c r="J38" s="10" t="n"/>
      <c r="K38" s="10" t="n"/>
      <c r="L38" s="18" t="n"/>
      <c r="M38" s="10" t="n"/>
      <c r="N38" s="18" t="n"/>
      <c r="O38" s="10" t="n"/>
      <c r="P38" s="19" t="n"/>
      <c r="Q38" s="10" t="n"/>
      <c r="R38" s="18" t="n"/>
      <c r="S38" s="20">
        <f>IF(COUNTA(B38:R38)=0,"",IF((IF(((B38="")+(C38="")+(D38="")+(E38="")+(F38="")+(H38="")+(I38="")+(J38="")+(M38="")+(Q38=""))&gt;0,"• حقول إلزامية ناقصة ","")&amp;IF(AND(D38&lt;&gt;"",COUNTIF($D$6:$D$205,D38)&gt;1),"• اسم المستخدم مكرر ","")&amp;IF(AND(D38&lt;&gt;"",ISNUMBER(SEARCH(" ",D38))),"• اسم المستخدم فيه مسافة ","")&amp;IF(AND(E38&lt;&gt;"",OR(ISERROR(SEARCH("@",E38)),ISERROR(SEARCH(".",E38)))),"• البريد غير صحيح ","")&amp;IF(AND(F38&lt;&gt;"",OR(LEN(F38)&lt;&gt;10,LEFT(F38,2)&lt;&gt;"05",ISERROR(--F38))),"• الجوال ليس بصيغة 05XXXXXXXX ","")&amp;IF(AND(L38&lt;&gt;"",OR(LEN(L38)&lt;2,LEN(L38)&gt;6,ISERROR(--L38),ISNUMBER(SEARCH(".",L38)))),"• التحويلة يجب أن تكون 2-6 أرقام ","")&amp;IF(AND(L38&lt;&gt;"",COUNTIF($L$6:$L$205,L38)&gt;1),"• التحويلة مكررة ","")&amp;IF(AND(M38="نعم",L38=""),"• يجري مكالمات بدون تحويلة ","")&amp;IF(AND(K38&lt;&gt;"",COUNTIF($D$6:$D$205,K38)=0),"• المشرف غير موجود في الجدول ","")&amp;IF(AND(J38="موظف تحصيل",K38=""),"• موظف التحصيل يحتاج مشرفاً ","")&amp;IF(AND(O38&lt;&gt;"",P38=""),"• نوع الهدف بدون قيمة ",""))="","✔ مكتمل",IF(((B38="")+(C38="")+(D38="")+(E38="")+(F38="")+(H38="")+(I38="")+(J38="")+(M38="")+(Q38=""))&gt;0,"• حقول إلزامية ناقصة ","")&amp;IF(AND(D38&lt;&gt;"",COUNTIF($D$6:$D$205,D38)&gt;1),"• اسم المستخدم مكرر ","")&amp;IF(AND(D38&lt;&gt;"",ISNUMBER(SEARCH(" ",D38))),"• اسم المستخدم فيه مسافة ","")&amp;IF(AND(E38&lt;&gt;"",OR(ISERROR(SEARCH("@",E38)),ISERROR(SEARCH(".",E38)))),"• البريد غير صحيح ","")&amp;IF(AND(F38&lt;&gt;"",OR(LEN(F38)&lt;&gt;10,LEFT(F38,2)&lt;&gt;"05",ISERROR(--F38))),"• الجوال ليس بصيغة 05XXXXXXXX ","")&amp;IF(AND(L38&lt;&gt;"",OR(LEN(L38)&lt;2,LEN(L38)&gt;6,ISERROR(--L38),ISNUMBER(SEARCH(".",L38)))),"• التحويلة يجب أن تكون 2-6 أرقام ","")&amp;IF(AND(L38&lt;&gt;"",COUNTIF($L$6:$L$205,L38)&gt;1),"• التحويلة مكررة ","")&amp;IF(AND(M38="نعم",L38=""),"• يجري مكالمات بدون تحويلة ","")&amp;IF(AND(K38&lt;&gt;"",COUNTIF($D$6:$D$205,K38)=0),"• المشرف غير موجود في الجدول ","")&amp;IF(AND(J38="موظف تحصيل",K38=""),"• موظف التحصيل يحتاج مشرفاً ","")&amp;IF(AND(O38&lt;&gt;"",P38=""),"• نوع الهدف بدون قيمة ","")))</f>
        <v/>
      </c>
    </row>
    <row r="39">
      <c r="A39" s="17">
        <f>IF(COUNTA(B39:R39)=0,"",ROW()-5)</f>
        <v/>
      </c>
      <c r="B39" s="18" t="n"/>
      <c r="C39" s="18" t="n"/>
      <c r="D39" s="18" t="n"/>
      <c r="E39" s="18" t="n"/>
      <c r="F39" s="18" t="n"/>
      <c r="G39" s="18" t="n"/>
      <c r="H39" s="10" t="n"/>
      <c r="I39" s="10" t="n"/>
      <c r="J39" s="10" t="n"/>
      <c r="K39" s="10" t="n"/>
      <c r="L39" s="18" t="n"/>
      <c r="M39" s="10" t="n"/>
      <c r="N39" s="18" t="n"/>
      <c r="O39" s="10" t="n"/>
      <c r="P39" s="19" t="n"/>
      <c r="Q39" s="10" t="n"/>
      <c r="R39" s="18" t="n"/>
      <c r="S39" s="20">
        <f>IF(COUNTA(B39:R39)=0,"",IF((IF(((B39="")+(C39="")+(D39="")+(E39="")+(F39="")+(H39="")+(I39="")+(J39="")+(M39="")+(Q39=""))&gt;0,"• حقول إلزامية ناقصة ","")&amp;IF(AND(D39&lt;&gt;"",COUNTIF($D$6:$D$205,D39)&gt;1),"• اسم المستخدم مكرر ","")&amp;IF(AND(D39&lt;&gt;"",ISNUMBER(SEARCH(" ",D39))),"• اسم المستخدم فيه مسافة ","")&amp;IF(AND(E39&lt;&gt;"",OR(ISERROR(SEARCH("@",E39)),ISERROR(SEARCH(".",E39)))),"• البريد غير صحيح ","")&amp;IF(AND(F39&lt;&gt;"",OR(LEN(F39)&lt;&gt;10,LEFT(F39,2)&lt;&gt;"05",ISERROR(--F39))),"• الجوال ليس بصيغة 05XXXXXXXX ","")&amp;IF(AND(L39&lt;&gt;"",OR(LEN(L39)&lt;2,LEN(L39)&gt;6,ISERROR(--L39),ISNUMBER(SEARCH(".",L39)))),"• التحويلة يجب أن تكون 2-6 أرقام ","")&amp;IF(AND(L39&lt;&gt;"",COUNTIF($L$6:$L$205,L39)&gt;1),"• التحويلة مكررة ","")&amp;IF(AND(M39="نعم",L39=""),"• يجري مكالمات بدون تحويلة ","")&amp;IF(AND(K39&lt;&gt;"",COUNTIF($D$6:$D$205,K39)=0),"• المشرف غير موجود في الجدول ","")&amp;IF(AND(J39="موظف تحصيل",K39=""),"• موظف التحصيل يحتاج مشرفاً ","")&amp;IF(AND(O39&lt;&gt;"",P39=""),"• نوع الهدف بدون قيمة ",""))="","✔ مكتمل",IF(((B39="")+(C39="")+(D39="")+(E39="")+(F39="")+(H39="")+(I39="")+(J39="")+(M39="")+(Q39=""))&gt;0,"• حقول إلزامية ناقصة ","")&amp;IF(AND(D39&lt;&gt;"",COUNTIF($D$6:$D$205,D39)&gt;1),"• اسم المستخدم مكرر ","")&amp;IF(AND(D39&lt;&gt;"",ISNUMBER(SEARCH(" ",D39))),"• اسم المستخدم فيه مسافة ","")&amp;IF(AND(E39&lt;&gt;"",OR(ISERROR(SEARCH("@",E39)),ISERROR(SEARCH(".",E39)))),"• البريد غير صحيح ","")&amp;IF(AND(F39&lt;&gt;"",OR(LEN(F39)&lt;&gt;10,LEFT(F39,2)&lt;&gt;"05",ISERROR(--F39))),"• الجوال ليس بصيغة 05XXXXXXXX ","")&amp;IF(AND(L39&lt;&gt;"",OR(LEN(L39)&lt;2,LEN(L39)&gt;6,ISERROR(--L39),ISNUMBER(SEARCH(".",L39)))),"• التحويلة يجب أن تكون 2-6 أرقام ","")&amp;IF(AND(L39&lt;&gt;"",COUNTIF($L$6:$L$205,L39)&gt;1),"• التحويلة مكررة ","")&amp;IF(AND(M39="نعم",L39=""),"• يجري مكالمات بدون تحويلة ","")&amp;IF(AND(K39&lt;&gt;"",COUNTIF($D$6:$D$205,K39)=0),"• المشرف غير موجود في الجدول ","")&amp;IF(AND(J39="موظف تحصيل",K39=""),"• موظف التحصيل يحتاج مشرفاً ","")&amp;IF(AND(O39&lt;&gt;"",P39=""),"• نوع الهدف بدون قيمة ","")))</f>
        <v/>
      </c>
    </row>
    <row r="40">
      <c r="A40" s="17">
        <f>IF(COUNTA(B40:R40)=0,"",ROW()-5)</f>
        <v/>
      </c>
      <c r="B40" s="18" t="n"/>
      <c r="C40" s="18" t="n"/>
      <c r="D40" s="18" t="n"/>
      <c r="E40" s="18" t="n"/>
      <c r="F40" s="18" t="n"/>
      <c r="G40" s="18" t="n"/>
      <c r="H40" s="10" t="n"/>
      <c r="I40" s="10" t="n"/>
      <c r="J40" s="10" t="n"/>
      <c r="K40" s="10" t="n"/>
      <c r="L40" s="18" t="n"/>
      <c r="M40" s="10" t="n"/>
      <c r="N40" s="18" t="n"/>
      <c r="O40" s="10" t="n"/>
      <c r="P40" s="19" t="n"/>
      <c r="Q40" s="10" t="n"/>
      <c r="R40" s="18" t="n"/>
      <c r="S40" s="20">
        <f>IF(COUNTA(B40:R40)=0,"",IF((IF(((B40="")+(C40="")+(D40="")+(E40="")+(F40="")+(H40="")+(I40="")+(J40="")+(M40="")+(Q40=""))&gt;0,"• حقول إلزامية ناقصة ","")&amp;IF(AND(D40&lt;&gt;"",COUNTIF($D$6:$D$205,D40)&gt;1),"• اسم المستخدم مكرر ","")&amp;IF(AND(D40&lt;&gt;"",ISNUMBER(SEARCH(" ",D40))),"• اسم المستخدم فيه مسافة ","")&amp;IF(AND(E40&lt;&gt;"",OR(ISERROR(SEARCH("@",E40)),ISERROR(SEARCH(".",E40)))),"• البريد غير صحيح ","")&amp;IF(AND(F40&lt;&gt;"",OR(LEN(F40)&lt;&gt;10,LEFT(F40,2)&lt;&gt;"05",ISERROR(--F40))),"• الجوال ليس بصيغة 05XXXXXXXX ","")&amp;IF(AND(L40&lt;&gt;"",OR(LEN(L40)&lt;2,LEN(L40)&gt;6,ISERROR(--L40),ISNUMBER(SEARCH(".",L40)))),"• التحويلة يجب أن تكون 2-6 أرقام ","")&amp;IF(AND(L40&lt;&gt;"",COUNTIF($L$6:$L$205,L40)&gt;1),"• التحويلة مكررة ","")&amp;IF(AND(M40="نعم",L40=""),"• يجري مكالمات بدون تحويلة ","")&amp;IF(AND(K40&lt;&gt;"",COUNTIF($D$6:$D$205,K40)=0),"• المشرف غير موجود في الجدول ","")&amp;IF(AND(J40="موظف تحصيل",K40=""),"• موظف التحصيل يحتاج مشرفاً ","")&amp;IF(AND(O40&lt;&gt;"",P40=""),"• نوع الهدف بدون قيمة ",""))="","✔ مكتمل",IF(((B40="")+(C40="")+(D40="")+(E40="")+(F40="")+(H40="")+(I40="")+(J40="")+(M40="")+(Q40=""))&gt;0,"• حقول إلزامية ناقصة ","")&amp;IF(AND(D40&lt;&gt;"",COUNTIF($D$6:$D$205,D40)&gt;1),"• اسم المستخدم مكرر ","")&amp;IF(AND(D40&lt;&gt;"",ISNUMBER(SEARCH(" ",D40))),"• اسم المستخدم فيه مسافة ","")&amp;IF(AND(E40&lt;&gt;"",OR(ISERROR(SEARCH("@",E40)),ISERROR(SEARCH(".",E40)))),"• البريد غير صحيح ","")&amp;IF(AND(F40&lt;&gt;"",OR(LEN(F40)&lt;&gt;10,LEFT(F40,2)&lt;&gt;"05",ISERROR(--F40))),"• الجوال ليس بصيغة 05XXXXXXXX ","")&amp;IF(AND(L40&lt;&gt;"",OR(LEN(L40)&lt;2,LEN(L40)&gt;6,ISERROR(--L40),ISNUMBER(SEARCH(".",L40)))),"• التحويلة يجب أن تكون 2-6 أرقام ","")&amp;IF(AND(L40&lt;&gt;"",COUNTIF($L$6:$L$205,L40)&gt;1),"• التحويلة مكررة ","")&amp;IF(AND(M40="نعم",L40=""),"• يجري مكالمات بدون تحويلة ","")&amp;IF(AND(K40&lt;&gt;"",COUNTIF($D$6:$D$205,K40)=0),"• المشرف غير موجود في الجدول ","")&amp;IF(AND(J40="موظف تحصيل",K40=""),"• موظف التحصيل يحتاج مشرفاً ","")&amp;IF(AND(O40&lt;&gt;"",P40=""),"• نوع الهدف بدون قيمة ","")))</f>
        <v/>
      </c>
    </row>
    <row r="41">
      <c r="A41" s="17">
        <f>IF(COUNTA(B41:R41)=0,"",ROW()-5)</f>
        <v/>
      </c>
      <c r="B41" s="18" t="n"/>
      <c r="C41" s="18" t="n"/>
      <c r="D41" s="18" t="n"/>
      <c r="E41" s="18" t="n"/>
      <c r="F41" s="18" t="n"/>
      <c r="G41" s="18" t="n"/>
      <c r="H41" s="10" t="n"/>
      <c r="I41" s="10" t="n"/>
      <c r="J41" s="10" t="n"/>
      <c r="K41" s="10" t="n"/>
      <c r="L41" s="18" t="n"/>
      <c r="M41" s="10" t="n"/>
      <c r="N41" s="18" t="n"/>
      <c r="O41" s="10" t="n"/>
      <c r="P41" s="19" t="n"/>
      <c r="Q41" s="10" t="n"/>
      <c r="R41" s="18" t="n"/>
      <c r="S41" s="20">
        <f>IF(COUNTA(B41:R41)=0,"",IF((IF(((B41="")+(C41="")+(D41="")+(E41="")+(F41="")+(H41="")+(I41="")+(J41="")+(M41="")+(Q41=""))&gt;0,"• حقول إلزامية ناقصة ","")&amp;IF(AND(D41&lt;&gt;"",COUNTIF($D$6:$D$205,D41)&gt;1),"• اسم المستخدم مكرر ","")&amp;IF(AND(D41&lt;&gt;"",ISNUMBER(SEARCH(" ",D41))),"• اسم المستخدم فيه مسافة ","")&amp;IF(AND(E41&lt;&gt;"",OR(ISERROR(SEARCH("@",E41)),ISERROR(SEARCH(".",E41)))),"• البريد غير صحيح ","")&amp;IF(AND(F41&lt;&gt;"",OR(LEN(F41)&lt;&gt;10,LEFT(F41,2)&lt;&gt;"05",ISERROR(--F41))),"• الجوال ليس بصيغة 05XXXXXXXX ","")&amp;IF(AND(L41&lt;&gt;"",OR(LEN(L41)&lt;2,LEN(L41)&gt;6,ISERROR(--L41),ISNUMBER(SEARCH(".",L41)))),"• التحويلة يجب أن تكون 2-6 أرقام ","")&amp;IF(AND(L41&lt;&gt;"",COUNTIF($L$6:$L$205,L41)&gt;1),"• التحويلة مكررة ","")&amp;IF(AND(M41="نعم",L41=""),"• يجري مكالمات بدون تحويلة ","")&amp;IF(AND(K41&lt;&gt;"",COUNTIF($D$6:$D$205,K41)=0),"• المشرف غير موجود في الجدول ","")&amp;IF(AND(J41="موظف تحصيل",K41=""),"• موظف التحصيل يحتاج مشرفاً ","")&amp;IF(AND(O41&lt;&gt;"",P41=""),"• نوع الهدف بدون قيمة ",""))="","✔ مكتمل",IF(((B41="")+(C41="")+(D41="")+(E41="")+(F41="")+(H41="")+(I41="")+(J41="")+(M41="")+(Q41=""))&gt;0,"• حقول إلزامية ناقصة ","")&amp;IF(AND(D41&lt;&gt;"",COUNTIF($D$6:$D$205,D41)&gt;1),"• اسم المستخدم مكرر ","")&amp;IF(AND(D41&lt;&gt;"",ISNUMBER(SEARCH(" ",D41))),"• اسم المستخدم فيه مسافة ","")&amp;IF(AND(E41&lt;&gt;"",OR(ISERROR(SEARCH("@",E41)),ISERROR(SEARCH(".",E41)))),"• البريد غير صحيح ","")&amp;IF(AND(F41&lt;&gt;"",OR(LEN(F41)&lt;&gt;10,LEFT(F41,2)&lt;&gt;"05",ISERROR(--F41))),"• الجوال ليس بصيغة 05XXXXXXXX ","")&amp;IF(AND(L41&lt;&gt;"",OR(LEN(L41)&lt;2,LEN(L41)&gt;6,ISERROR(--L41),ISNUMBER(SEARCH(".",L41)))),"• التحويلة يجب أن تكون 2-6 أرقام ","")&amp;IF(AND(L41&lt;&gt;"",COUNTIF($L$6:$L$205,L41)&gt;1),"• التحويلة مكررة ","")&amp;IF(AND(M41="نعم",L41=""),"• يجري مكالمات بدون تحويلة ","")&amp;IF(AND(K41&lt;&gt;"",COUNTIF($D$6:$D$205,K41)=0),"• المشرف غير موجود في الجدول ","")&amp;IF(AND(J41="موظف تحصيل",K41=""),"• موظف التحصيل يحتاج مشرفاً ","")&amp;IF(AND(O41&lt;&gt;"",P41=""),"• نوع الهدف بدون قيمة ","")))</f>
        <v/>
      </c>
    </row>
    <row r="42">
      <c r="A42" s="17">
        <f>IF(COUNTA(B42:R42)=0,"",ROW()-5)</f>
        <v/>
      </c>
      <c r="B42" s="18" t="n"/>
      <c r="C42" s="18" t="n"/>
      <c r="D42" s="18" t="n"/>
      <c r="E42" s="18" t="n"/>
      <c r="F42" s="18" t="n"/>
      <c r="G42" s="18" t="n"/>
      <c r="H42" s="10" t="n"/>
      <c r="I42" s="10" t="n"/>
      <c r="J42" s="10" t="n"/>
      <c r="K42" s="10" t="n"/>
      <c r="L42" s="18" t="n"/>
      <c r="M42" s="10" t="n"/>
      <c r="N42" s="18" t="n"/>
      <c r="O42" s="10" t="n"/>
      <c r="P42" s="19" t="n"/>
      <c r="Q42" s="10" t="n"/>
      <c r="R42" s="18" t="n"/>
      <c r="S42" s="20">
        <f>IF(COUNTA(B42:R42)=0,"",IF((IF(((B42="")+(C42="")+(D42="")+(E42="")+(F42="")+(H42="")+(I42="")+(J42="")+(M42="")+(Q42=""))&gt;0,"• حقول إلزامية ناقصة ","")&amp;IF(AND(D42&lt;&gt;"",COUNTIF($D$6:$D$205,D42)&gt;1),"• اسم المستخدم مكرر ","")&amp;IF(AND(D42&lt;&gt;"",ISNUMBER(SEARCH(" ",D42))),"• اسم المستخدم فيه مسافة ","")&amp;IF(AND(E42&lt;&gt;"",OR(ISERROR(SEARCH("@",E42)),ISERROR(SEARCH(".",E42)))),"• البريد غير صحيح ","")&amp;IF(AND(F42&lt;&gt;"",OR(LEN(F42)&lt;&gt;10,LEFT(F42,2)&lt;&gt;"05",ISERROR(--F42))),"• الجوال ليس بصيغة 05XXXXXXXX ","")&amp;IF(AND(L42&lt;&gt;"",OR(LEN(L42)&lt;2,LEN(L42)&gt;6,ISERROR(--L42),ISNUMBER(SEARCH(".",L42)))),"• التحويلة يجب أن تكون 2-6 أرقام ","")&amp;IF(AND(L42&lt;&gt;"",COUNTIF($L$6:$L$205,L42)&gt;1),"• التحويلة مكررة ","")&amp;IF(AND(M42="نعم",L42=""),"• يجري مكالمات بدون تحويلة ","")&amp;IF(AND(K42&lt;&gt;"",COUNTIF($D$6:$D$205,K42)=0),"• المشرف غير موجود في الجدول ","")&amp;IF(AND(J42="موظف تحصيل",K42=""),"• موظف التحصيل يحتاج مشرفاً ","")&amp;IF(AND(O42&lt;&gt;"",P42=""),"• نوع الهدف بدون قيمة ",""))="","✔ مكتمل",IF(((B42="")+(C42="")+(D42="")+(E42="")+(F42="")+(H42="")+(I42="")+(J42="")+(M42="")+(Q42=""))&gt;0,"• حقول إلزامية ناقصة ","")&amp;IF(AND(D42&lt;&gt;"",COUNTIF($D$6:$D$205,D42)&gt;1),"• اسم المستخدم مكرر ","")&amp;IF(AND(D42&lt;&gt;"",ISNUMBER(SEARCH(" ",D42))),"• اسم المستخدم فيه مسافة ","")&amp;IF(AND(E42&lt;&gt;"",OR(ISERROR(SEARCH("@",E42)),ISERROR(SEARCH(".",E42)))),"• البريد غير صحيح ","")&amp;IF(AND(F42&lt;&gt;"",OR(LEN(F42)&lt;&gt;10,LEFT(F42,2)&lt;&gt;"05",ISERROR(--F42))),"• الجوال ليس بصيغة 05XXXXXXXX ","")&amp;IF(AND(L42&lt;&gt;"",OR(LEN(L42)&lt;2,LEN(L42)&gt;6,ISERROR(--L42),ISNUMBER(SEARCH(".",L42)))),"• التحويلة يجب أن تكون 2-6 أرقام ","")&amp;IF(AND(L42&lt;&gt;"",COUNTIF($L$6:$L$205,L42)&gt;1),"• التحويلة مكررة ","")&amp;IF(AND(M42="نعم",L42=""),"• يجري مكالمات بدون تحويلة ","")&amp;IF(AND(K42&lt;&gt;"",COUNTIF($D$6:$D$205,K42)=0),"• المشرف غير موجود في الجدول ","")&amp;IF(AND(J42="موظف تحصيل",K42=""),"• موظف التحصيل يحتاج مشرفاً ","")&amp;IF(AND(O42&lt;&gt;"",P42=""),"• نوع الهدف بدون قيمة ","")))</f>
        <v/>
      </c>
    </row>
    <row r="43">
      <c r="A43" s="17">
        <f>IF(COUNTA(B43:R43)=0,"",ROW()-5)</f>
        <v/>
      </c>
      <c r="B43" s="18" t="n"/>
      <c r="C43" s="18" t="n"/>
      <c r="D43" s="18" t="n"/>
      <c r="E43" s="18" t="n"/>
      <c r="F43" s="18" t="n"/>
      <c r="G43" s="18" t="n"/>
      <c r="H43" s="10" t="n"/>
      <c r="I43" s="10" t="n"/>
      <c r="J43" s="10" t="n"/>
      <c r="K43" s="10" t="n"/>
      <c r="L43" s="18" t="n"/>
      <c r="M43" s="10" t="n"/>
      <c r="N43" s="18" t="n"/>
      <c r="O43" s="10" t="n"/>
      <c r="P43" s="19" t="n"/>
      <c r="Q43" s="10" t="n"/>
      <c r="R43" s="18" t="n"/>
      <c r="S43" s="20">
        <f>IF(COUNTA(B43:R43)=0,"",IF((IF(((B43="")+(C43="")+(D43="")+(E43="")+(F43="")+(H43="")+(I43="")+(J43="")+(M43="")+(Q43=""))&gt;0,"• حقول إلزامية ناقصة ","")&amp;IF(AND(D43&lt;&gt;"",COUNTIF($D$6:$D$205,D43)&gt;1),"• اسم المستخدم مكرر ","")&amp;IF(AND(D43&lt;&gt;"",ISNUMBER(SEARCH(" ",D43))),"• اسم المستخدم فيه مسافة ","")&amp;IF(AND(E43&lt;&gt;"",OR(ISERROR(SEARCH("@",E43)),ISERROR(SEARCH(".",E43)))),"• البريد غير صحيح ","")&amp;IF(AND(F43&lt;&gt;"",OR(LEN(F43)&lt;&gt;10,LEFT(F43,2)&lt;&gt;"05",ISERROR(--F43))),"• الجوال ليس بصيغة 05XXXXXXXX ","")&amp;IF(AND(L43&lt;&gt;"",OR(LEN(L43)&lt;2,LEN(L43)&gt;6,ISERROR(--L43),ISNUMBER(SEARCH(".",L43)))),"• التحويلة يجب أن تكون 2-6 أرقام ","")&amp;IF(AND(L43&lt;&gt;"",COUNTIF($L$6:$L$205,L43)&gt;1),"• التحويلة مكررة ","")&amp;IF(AND(M43="نعم",L43=""),"• يجري مكالمات بدون تحويلة ","")&amp;IF(AND(K43&lt;&gt;"",COUNTIF($D$6:$D$205,K43)=0),"• المشرف غير موجود في الجدول ","")&amp;IF(AND(J43="موظف تحصيل",K43=""),"• موظف التحصيل يحتاج مشرفاً ","")&amp;IF(AND(O43&lt;&gt;"",P43=""),"• نوع الهدف بدون قيمة ",""))="","✔ مكتمل",IF(((B43="")+(C43="")+(D43="")+(E43="")+(F43="")+(H43="")+(I43="")+(J43="")+(M43="")+(Q43=""))&gt;0,"• حقول إلزامية ناقصة ","")&amp;IF(AND(D43&lt;&gt;"",COUNTIF($D$6:$D$205,D43)&gt;1),"• اسم المستخدم مكرر ","")&amp;IF(AND(D43&lt;&gt;"",ISNUMBER(SEARCH(" ",D43))),"• اسم المستخدم فيه مسافة ","")&amp;IF(AND(E43&lt;&gt;"",OR(ISERROR(SEARCH("@",E43)),ISERROR(SEARCH(".",E43)))),"• البريد غير صحيح ","")&amp;IF(AND(F43&lt;&gt;"",OR(LEN(F43)&lt;&gt;10,LEFT(F43,2)&lt;&gt;"05",ISERROR(--F43))),"• الجوال ليس بصيغة 05XXXXXXXX ","")&amp;IF(AND(L43&lt;&gt;"",OR(LEN(L43)&lt;2,LEN(L43)&gt;6,ISERROR(--L43),ISNUMBER(SEARCH(".",L43)))),"• التحويلة يجب أن تكون 2-6 أرقام ","")&amp;IF(AND(L43&lt;&gt;"",COUNTIF($L$6:$L$205,L43)&gt;1),"• التحويلة مكررة ","")&amp;IF(AND(M43="نعم",L43=""),"• يجري مكالمات بدون تحويلة ","")&amp;IF(AND(K43&lt;&gt;"",COUNTIF($D$6:$D$205,K43)=0),"• المشرف غير موجود في الجدول ","")&amp;IF(AND(J43="موظف تحصيل",K43=""),"• موظف التحصيل يحتاج مشرفاً ","")&amp;IF(AND(O43&lt;&gt;"",P43=""),"• نوع الهدف بدون قيمة ","")))</f>
        <v/>
      </c>
    </row>
    <row r="44">
      <c r="A44" s="17">
        <f>IF(COUNTA(B44:R44)=0,"",ROW()-5)</f>
        <v/>
      </c>
      <c r="B44" s="18" t="n"/>
      <c r="C44" s="18" t="n"/>
      <c r="D44" s="18" t="n"/>
      <c r="E44" s="18" t="n"/>
      <c r="F44" s="18" t="n"/>
      <c r="G44" s="18" t="n"/>
      <c r="H44" s="10" t="n"/>
      <c r="I44" s="10" t="n"/>
      <c r="J44" s="10" t="n"/>
      <c r="K44" s="10" t="n"/>
      <c r="L44" s="18" t="n"/>
      <c r="M44" s="10" t="n"/>
      <c r="N44" s="18" t="n"/>
      <c r="O44" s="10" t="n"/>
      <c r="P44" s="19" t="n"/>
      <c r="Q44" s="10" t="n"/>
      <c r="R44" s="18" t="n"/>
      <c r="S44" s="20">
        <f>IF(COUNTA(B44:R44)=0,"",IF((IF(((B44="")+(C44="")+(D44="")+(E44="")+(F44="")+(H44="")+(I44="")+(J44="")+(M44="")+(Q44=""))&gt;0,"• حقول إلزامية ناقصة ","")&amp;IF(AND(D44&lt;&gt;"",COUNTIF($D$6:$D$205,D44)&gt;1),"• اسم المستخدم مكرر ","")&amp;IF(AND(D44&lt;&gt;"",ISNUMBER(SEARCH(" ",D44))),"• اسم المستخدم فيه مسافة ","")&amp;IF(AND(E44&lt;&gt;"",OR(ISERROR(SEARCH("@",E44)),ISERROR(SEARCH(".",E44)))),"• البريد غير صحيح ","")&amp;IF(AND(F44&lt;&gt;"",OR(LEN(F44)&lt;&gt;10,LEFT(F44,2)&lt;&gt;"05",ISERROR(--F44))),"• الجوال ليس بصيغة 05XXXXXXXX ","")&amp;IF(AND(L44&lt;&gt;"",OR(LEN(L44)&lt;2,LEN(L44)&gt;6,ISERROR(--L44),ISNUMBER(SEARCH(".",L44)))),"• التحويلة يجب أن تكون 2-6 أرقام ","")&amp;IF(AND(L44&lt;&gt;"",COUNTIF($L$6:$L$205,L44)&gt;1),"• التحويلة مكررة ","")&amp;IF(AND(M44="نعم",L44=""),"• يجري مكالمات بدون تحويلة ","")&amp;IF(AND(K44&lt;&gt;"",COUNTIF($D$6:$D$205,K44)=0),"• المشرف غير موجود في الجدول ","")&amp;IF(AND(J44="موظف تحصيل",K44=""),"• موظف التحصيل يحتاج مشرفاً ","")&amp;IF(AND(O44&lt;&gt;"",P44=""),"• نوع الهدف بدون قيمة ",""))="","✔ مكتمل",IF(((B44="")+(C44="")+(D44="")+(E44="")+(F44="")+(H44="")+(I44="")+(J44="")+(M44="")+(Q44=""))&gt;0,"• حقول إلزامية ناقصة ","")&amp;IF(AND(D44&lt;&gt;"",COUNTIF($D$6:$D$205,D44)&gt;1),"• اسم المستخدم مكرر ","")&amp;IF(AND(D44&lt;&gt;"",ISNUMBER(SEARCH(" ",D44))),"• اسم المستخدم فيه مسافة ","")&amp;IF(AND(E44&lt;&gt;"",OR(ISERROR(SEARCH("@",E44)),ISERROR(SEARCH(".",E44)))),"• البريد غير صحيح ","")&amp;IF(AND(F44&lt;&gt;"",OR(LEN(F44)&lt;&gt;10,LEFT(F44,2)&lt;&gt;"05",ISERROR(--F44))),"• الجوال ليس بصيغة 05XXXXXXXX ","")&amp;IF(AND(L44&lt;&gt;"",OR(LEN(L44)&lt;2,LEN(L44)&gt;6,ISERROR(--L44),ISNUMBER(SEARCH(".",L44)))),"• التحويلة يجب أن تكون 2-6 أرقام ","")&amp;IF(AND(L44&lt;&gt;"",COUNTIF($L$6:$L$205,L44)&gt;1),"• التحويلة مكررة ","")&amp;IF(AND(M44="نعم",L44=""),"• يجري مكالمات بدون تحويلة ","")&amp;IF(AND(K44&lt;&gt;"",COUNTIF($D$6:$D$205,K44)=0),"• المشرف غير موجود في الجدول ","")&amp;IF(AND(J44="موظف تحصيل",K44=""),"• موظف التحصيل يحتاج مشرفاً ","")&amp;IF(AND(O44&lt;&gt;"",P44=""),"• نوع الهدف بدون قيمة ","")))</f>
        <v/>
      </c>
    </row>
    <row r="45">
      <c r="A45" s="17">
        <f>IF(COUNTA(B45:R45)=0,"",ROW()-5)</f>
        <v/>
      </c>
      <c r="B45" s="18" t="n"/>
      <c r="C45" s="18" t="n"/>
      <c r="D45" s="18" t="n"/>
      <c r="E45" s="18" t="n"/>
      <c r="F45" s="18" t="n"/>
      <c r="G45" s="18" t="n"/>
      <c r="H45" s="10" t="n"/>
      <c r="I45" s="10" t="n"/>
      <c r="J45" s="10" t="n"/>
      <c r="K45" s="10" t="n"/>
      <c r="L45" s="18" t="n"/>
      <c r="M45" s="10" t="n"/>
      <c r="N45" s="18" t="n"/>
      <c r="O45" s="10" t="n"/>
      <c r="P45" s="19" t="n"/>
      <c r="Q45" s="10" t="n"/>
      <c r="R45" s="18" t="n"/>
      <c r="S45" s="20">
        <f>IF(COUNTA(B45:R45)=0,"",IF((IF(((B45="")+(C45="")+(D45="")+(E45="")+(F45="")+(H45="")+(I45="")+(J45="")+(M45="")+(Q45=""))&gt;0,"• حقول إلزامية ناقصة ","")&amp;IF(AND(D45&lt;&gt;"",COUNTIF($D$6:$D$205,D45)&gt;1),"• اسم المستخدم مكرر ","")&amp;IF(AND(D45&lt;&gt;"",ISNUMBER(SEARCH(" ",D45))),"• اسم المستخدم فيه مسافة ","")&amp;IF(AND(E45&lt;&gt;"",OR(ISERROR(SEARCH("@",E45)),ISERROR(SEARCH(".",E45)))),"• البريد غير صحيح ","")&amp;IF(AND(F45&lt;&gt;"",OR(LEN(F45)&lt;&gt;10,LEFT(F45,2)&lt;&gt;"05",ISERROR(--F45))),"• الجوال ليس بصيغة 05XXXXXXXX ","")&amp;IF(AND(L45&lt;&gt;"",OR(LEN(L45)&lt;2,LEN(L45)&gt;6,ISERROR(--L45),ISNUMBER(SEARCH(".",L45)))),"• التحويلة يجب أن تكون 2-6 أرقام ","")&amp;IF(AND(L45&lt;&gt;"",COUNTIF($L$6:$L$205,L45)&gt;1),"• التحويلة مكررة ","")&amp;IF(AND(M45="نعم",L45=""),"• يجري مكالمات بدون تحويلة ","")&amp;IF(AND(K45&lt;&gt;"",COUNTIF($D$6:$D$205,K45)=0),"• المشرف غير موجود في الجدول ","")&amp;IF(AND(J45="موظف تحصيل",K45=""),"• موظف التحصيل يحتاج مشرفاً ","")&amp;IF(AND(O45&lt;&gt;"",P45=""),"• نوع الهدف بدون قيمة ",""))="","✔ مكتمل",IF(((B45="")+(C45="")+(D45="")+(E45="")+(F45="")+(H45="")+(I45="")+(J45="")+(M45="")+(Q45=""))&gt;0,"• حقول إلزامية ناقصة ","")&amp;IF(AND(D45&lt;&gt;"",COUNTIF($D$6:$D$205,D45)&gt;1),"• اسم المستخدم مكرر ","")&amp;IF(AND(D45&lt;&gt;"",ISNUMBER(SEARCH(" ",D45))),"• اسم المستخدم فيه مسافة ","")&amp;IF(AND(E45&lt;&gt;"",OR(ISERROR(SEARCH("@",E45)),ISERROR(SEARCH(".",E45)))),"• البريد غير صحيح ","")&amp;IF(AND(F45&lt;&gt;"",OR(LEN(F45)&lt;&gt;10,LEFT(F45,2)&lt;&gt;"05",ISERROR(--F45))),"• الجوال ليس بصيغة 05XXXXXXXX ","")&amp;IF(AND(L45&lt;&gt;"",OR(LEN(L45)&lt;2,LEN(L45)&gt;6,ISERROR(--L45),ISNUMBER(SEARCH(".",L45)))),"• التحويلة يجب أن تكون 2-6 أرقام ","")&amp;IF(AND(L45&lt;&gt;"",COUNTIF($L$6:$L$205,L45)&gt;1),"• التحويلة مكررة ","")&amp;IF(AND(M45="نعم",L45=""),"• يجري مكالمات بدون تحويلة ","")&amp;IF(AND(K45&lt;&gt;"",COUNTIF($D$6:$D$205,K45)=0),"• المشرف غير موجود في الجدول ","")&amp;IF(AND(J45="موظف تحصيل",K45=""),"• موظف التحصيل يحتاج مشرفاً ","")&amp;IF(AND(O45&lt;&gt;"",P45=""),"• نوع الهدف بدون قيمة ","")))</f>
        <v/>
      </c>
    </row>
    <row r="46">
      <c r="A46" s="17">
        <f>IF(COUNTA(B46:R46)=0,"",ROW()-5)</f>
        <v/>
      </c>
      <c r="B46" s="18" t="n"/>
      <c r="C46" s="18" t="n"/>
      <c r="D46" s="18" t="n"/>
      <c r="E46" s="18" t="n"/>
      <c r="F46" s="18" t="n"/>
      <c r="G46" s="18" t="n"/>
      <c r="H46" s="10" t="n"/>
      <c r="I46" s="10" t="n"/>
      <c r="J46" s="10" t="n"/>
      <c r="K46" s="10" t="n"/>
      <c r="L46" s="18" t="n"/>
      <c r="M46" s="10" t="n"/>
      <c r="N46" s="18" t="n"/>
      <c r="O46" s="10" t="n"/>
      <c r="P46" s="19" t="n"/>
      <c r="Q46" s="10" t="n"/>
      <c r="R46" s="18" t="n"/>
      <c r="S46" s="20">
        <f>IF(COUNTA(B46:R46)=0,"",IF((IF(((B46="")+(C46="")+(D46="")+(E46="")+(F46="")+(H46="")+(I46="")+(J46="")+(M46="")+(Q46=""))&gt;0,"• حقول إلزامية ناقصة ","")&amp;IF(AND(D46&lt;&gt;"",COUNTIF($D$6:$D$205,D46)&gt;1),"• اسم المستخدم مكرر ","")&amp;IF(AND(D46&lt;&gt;"",ISNUMBER(SEARCH(" ",D46))),"• اسم المستخدم فيه مسافة ","")&amp;IF(AND(E46&lt;&gt;"",OR(ISERROR(SEARCH("@",E46)),ISERROR(SEARCH(".",E46)))),"• البريد غير صحيح ","")&amp;IF(AND(F46&lt;&gt;"",OR(LEN(F46)&lt;&gt;10,LEFT(F46,2)&lt;&gt;"05",ISERROR(--F46))),"• الجوال ليس بصيغة 05XXXXXXXX ","")&amp;IF(AND(L46&lt;&gt;"",OR(LEN(L46)&lt;2,LEN(L46)&gt;6,ISERROR(--L46),ISNUMBER(SEARCH(".",L46)))),"• التحويلة يجب أن تكون 2-6 أرقام ","")&amp;IF(AND(L46&lt;&gt;"",COUNTIF($L$6:$L$205,L46)&gt;1),"• التحويلة مكررة ","")&amp;IF(AND(M46="نعم",L46=""),"• يجري مكالمات بدون تحويلة ","")&amp;IF(AND(K46&lt;&gt;"",COUNTIF($D$6:$D$205,K46)=0),"• المشرف غير موجود في الجدول ","")&amp;IF(AND(J46="موظف تحصيل",K46=""),"• موظف التحصيل يحتاج مشرفاً ","")&amp;IF(AND(O46&lt;&gt;"",P46=""),"• نوع الهدف بدون قيمة ",""))="","✔ مكتمل",IF(((B46="")+(C46="")+(D46="")+(E46="")+(F46="")+(H46="")+(I46="")+(J46="")+(M46="")+(Q46=""))&gt;0,"• حقول إلزامية ناقصة ","")&amp;IF(AND(D46&lt;&gt;"",COUNTIF($D$6:$D$205,D46)&gt;1),"• اسم المستخدم مكرر ","")&amp;IF(AND(D46&lt;&gt;"",ISNUMBER(SEARCH(" ",D46))),"• اسم المستخدم فيه مسافة ","")&amp;IF(AND(E46&lt;&gt;"",OR(ISERROR(SEARCH("@",E46)),ISERROR(SEARCH(".",E46)))),"• البريد غير صحيح ","")&amp;IF(AND(F46&lt;&gt;"",OR(LEN(F46)&lt;&gt;10,LEFT(F46,2)&lt;&gt;"05",ISERROR(--F46))),"• الجوال ليس بصيغة 05XXXXXXXX ","")&amp;IF(AND(L46&lt;&gt;"",OR(LEN(L46)&lt;2,LEN(L46)&gt;6,ISERROR(--L46),ISNUMBER(SEARCH(".",L46)))),"• التحويلة يجب أن تكون 2-6 أرقام ","")&amp;IF(AND(L46&lt;&gt;"",COUNTIF($L$6:$L$205,L46)&gt;1),"• التحويلة مكررة ","")&amp;IF(AND(M46="نعم",L46=""),"• يجري مكالمات بدون تحويلة ","")&amp;IF(AND(K46&lt;&gt;"",COUNTIF($D$6:$D$205,K46)=0),"• المشرف غير موجود في الجدول ","")&amp;IF(AND(J46="موظف تحصيل",K46=""),"• موظف التحصيل يحتاج مشرفاً ","")&amp;IF(AND(O46&lt;&gt;"",P46=""),"• نوع الهدف بدون قيمة ","")))</f>
        <v/>
      </c>
    </row>
    <row r="47">
      <c r="A47" s="17">
        <f>IF(COUNTA(B47:R47)=0,"",ROW()-5)</f>
        <v/>
      </c>
      <c r="B47" s="18" t="n"/>
      <c r="C47" s="18" t="n"/>
      <c r="D47" s="18" t="n"/>
      <c r="E47" s="18" t="n"/>
      <c r="F47" s="18" t="n"/>
      <c r="G47" s="18" t="n"/>
      <c r="H47" s="10" t="n"/>
      <c r="I47" s="10" t="n"/>
      <c r="J47" s="10" t="n"/>
      <c r="K47" s="10" t="n"/>
      <c r="L47" s="18" t="n"/>
      <c r="M47" s="10" t="n"/>
      <c r="N47" s="18" t="n"/>
      <c r="O47" s="10" t="n"/>
      <c r="P47" s="19" t="n"/>
      <c r="Q47" s="10" t="n"/>
      <c r="R47" s="18" t="n"/>
      <c r="S47" s="20">
        <f>IF(COUNTA(B47:R47)=0,"",IF((IF(((B47="")+(C47="")+(D47="")+(E47="")+(F47="")+(H47="")+(I47="")+(J47="")+(M47="")+(Q47=""))&gt;0,"• حقول إلزامية ناقصة ","")&amp;IF(AND(D47&lt;&gt;"",COUNTIF($D$6:$D$205,D47)&gt;1),"• اسم المستخدم مكرر ","")&amp;IF(AND(D47&lt;&gt;"",ISNUMBER(SEARCH(" ",D47))),"• اسم المستخدم فيه مسافة ","")&amp;IF(AND(E47&lt;&gt;"",OR(ISERROR(SEARCH("@",E47)),ISERROR(SEARCH(".",E47)))),"• البريد غير صحيح ","")&amp;IF(AND(F47&lt;&gt;"",OR(LEN(F47)&lt;&gt;10,LEFT(F47,2)&lt;&gt;"05",ISERROR(--F47))),"• الجوال ليس بصيغة 05XXXXXXXX ","")&amp;IF(AND(L47&lt;&gt;"",OR(LEN(L47)&lt;2,LEN(L47)&gt;6,ISERROR(--L47),ISNUMBER(SEARCH(".",L47)))),"• التحويلة يجب أن تكون 2-6 أرقام ","")&amp;IF(AND(L47&lt;&gt;"",COUNTIF($L$6:$L$205,L47)&gt;1),"• التحويلة مكررة ","")&amp;IF(AND(M47="نعم",L47=""),"• يجري مكالمات بدون تحويلة ","")&amp;IF(AND(K47&lt;&gt;"",COUNTIF($D$6:$D$205,K47)=0),"• المشرف غير موجود في الجدول ","")&amp;IF(AND(J47="موظف تحصيل",K47=""),"• موظف التحصيل يحتاج مشرفاً ","")&amp;IF(AND(O47&lt;&gt;"",P47=""),"• نوع الهدف بدون قيمة ",""))="","✔ مكتمل",IF(((B47="")+(C47="")+(D47="")+(E47="")+(F47="")+(H47="")+(I47="")+(J47="")+(M47="")+(Q47=""))&gt;0,"• حقول إلزامية ناقصة ","")&amp;IF(AND(D47&lt;&gt;"",COUNTIF($D$6:$D$205,D47)&gt;1),"• اسم المستخدم مكرر ","")&amp;IF(AND(D47&lt;&gt;"",ISNUMBER(SEARCH(" ",D47))),"• اسم المستخدم فيه مسافة ","")&amp;IF(AND(E47&lt;&gt;"",OR(ISERROR(SEARCH("@",E47)),ISERROR(SEARCH(".",E47)))),"• البريد غير صحيح ","")&amp;IF(AND(F47&lt;&gt;"",OR(LEN(F47)&lt;&gt;10,LEFT(F47,2)&lt;&gt;"05",ISERROR(--F47))),"• الجوال ليس بصيغة 05XXXXXXXX ","")&amp;IF(AND(L47&lt;&gt;"",OR(LEN(L47)&lt;2,LEN(L47)&gt;6,ISERROR(--L47),ISNUMBER(SEARCH(".",L47)))),"• التحويلة يجب أن تكون 2-6 أرقام ","")&amp;IF(AND(L47&lt;&gt;"",COUNTIF($L$6:$L$205,L47)&gt;1),"• التحويلة مكررة ","")&amp;IF(AND(M47="نعم",L47=""),"• يجري مكالمات بدون تحويلة ","")&amp;IF(AND(K47&lt;&gt;"",COUNTIF($D$6:$D$205,K47)=0),"• المشرف غير موجود في الجدول ","")&amp;IF(AND(J47="موظف تحصيل",K47=""),"• موظف التحصيل يحتاج مشرفاً ","")&amp;IF(AND(O47&lt;&gt;"",P47=""),"• نوع الهدف بدون قيمة ","")))</f>
        <v/>
      </c>
    </row>
    <row r="48">
      <c r="A48" s="17">
        <f>IF(COUNTA(B48:R48)=0,"",ROW()-5)</f>
        <v/>
      </c>
      <c r="B48" s="18" t="n"/>
      <c r="C48" s="18" t="n"/>
      <c r="D48" s="18" t="n"/>
      <c r="E48" s="18" t="n"/>
      <c r="F48" s="18" t="n"/>
      <c r="G48" s="18" t="n"/>
      <c r="H48" s="10" t="n"/>
      <c r="I48" s="10" t="n"/>
      <c r="J48" s="10" t="n"/>
      <c r="K48" s="10" t="n"/>
      <c r="L48" s="18" t="n"/>
      <c r="M48" s="10" t="n"/>
      <c r="N48" s="18" t="n"/>
      <c r="O48" s="10" t="n"/>
      <c r="P48" s="19" t="n"/>
      <c r="Q48" s="10" t="n"/>
      <c r="R48" s="18" t="n"/>
      <c r="S48" s="20">
        <f>IF(COUNTA(B48:R48)=0,"",IF((IF(((B48="")+(C48="")+(D48="")+(E48="")+(F48="")+(H48="")+(I48="")+(J48="")+(M48="")+(Q48=""))&gt;0,"• حقول إلزامية ناقصة ","")&amp;IF(AND(D48&lt;&gt;"",COUNTIF($D$6:$D$205,D48)&gt;1),"• اسم المستخدم مكرر ","")&amp;IF(AND(D48&lt;&gt;"",ISNUMBER(SEARCH(" ",D48))),"• اسم المستخدم فيه مسافة ","")&amp;IF(AND(E48&lt;&gt;"",OR(ISERROR(SEARCH("@",E48)),ISERROR(SEARCH(".",E48)))),"• البريد غير صحيح ","")&amp;IF(AND(F48&lt;&gt;"",OR(LEN(F48)&lt;&gt;10,LEFT(F48,2)&lt;&gt;"05",ISERROR(--F48))),"• الجوال ليس بصيغة 05XXXXXXXX ","")&amp;IF(AND(L48&lt;&gt;"",OR(LEN(L48)&lt;2,LEN(L48)&gt;6,ISERROR(--L48),ISNUMBER(SEARCH(".",L48)))),"• التحويلة يجب أن تكون 2-6 أرقام ","")&amp;IF(AND(L48&lt;&gt;"",COUNTIF($L$6:$L$205,L48)&gt;1),"• التحويلة مكررة ","")&amp;IF(AND(M48="نعم",L48=""),"• يجري مكالمات بدون تحويلة ","")&amp;IF(AND(K48&lt;&gt;"",COUNTIF($D$6:$D$205,K48)=0),"• المشرف غير موجود في الجدول ","")&amp;IF(AND(J48="موظف تحصيل",K48=""),"• موظف التحصيل يحتاج مشرفاً ","")&amp;IF(AND(O48&lt;&gt;"",P48=""),"• نوع الهدف بدون قيمة ",""))="","✔ مكتمل",IF(((B48="")+(C48="")+(D48="")+(E48="")+(F48="")+(H48="")+(I48="")+(J48="")+(M48="")+(Q48=""))&gt;0,"• حقول إلزامية ناقصة ","")&amp;IF(AND(D48&lt;&gt;"",COUNTIF($D$6:$D$205,D48)&gt;1),"• اسم المستخدم مكرر ","")&amp;IF(AND(D48&lt;&gt;"",ISNUMBER(SEARCH(" ",D48))),"• اسم المستخدم فيه مسافة ","")&amp;IF(AND(E48&lt;&gt;"",OR(ISERROR(SEARCH("@",E48)),ISERROR(SEARCH(".",E48)))),"• البريد غير صحيح ","")&amp;IF(AND(F48&lt;&gt;"",OR(LEN(F48)&lt;&gt;10,LEFT(F48,2)&lt;&gt;"05",ISERROR(--F48))),"• الجوال ليس بصيغة 05XXXXXXXX ","")&amp;IF(AND(L48&lt;&gt;"",OR(LEN(L48)&lt;2,LEN(L48)&gt;6,ISERROR(--L48),ISNUMBER(SEARCH(".",L48)))),"• التحويلة يجب أن تكون 2-6 أرقام ","")&amp;IF(AND(L48&lt;&gt;"",COUNTIF($L$6:$L$205,L48)&gt;1),"• التحويلة مكررة ","")&amp;IF(AND(M48="نعم",L48=""),"• يجري مكالمات بدون تحويلة ","")&amp;IF(AND(K48&lt;&gt;"",COUNTIF($D$6:$D$205,K48)=0),"• المشرف غير موجود في الجدول ","")&amp;IF(AND(J48="موظف تحصيل",K48=""),"• موظف التحصيل يحتاج مشرفاً ","")&amp;IF(AND(O48&lt;&gt;"",P48=""),"• نوع الهدف بدون قيمة ","")))</f>
        <v/>
      </c>
    </row>
    <row r="49">
      <c r="A49" s="17">
        <f>IF(COUNTA(B49:R49)=0,"",ROW()-5)</f>
        <v/>
      </c>
      <c r="B49" s="18" t="n"/>
      <c r="C49" s="18" t="n"/>
      <c r="D49" s="18" t="n"/>
      <c r="E49" s="18" t="n"/>
      <c r="F49" s="18" t="n"/>
      <c r="G49" s="18" t="n"/>
      <c r="H49" s="10" t="n"/>
      <c r="I49" s="10" t="n"/>
      <c r="J49" s="10" t="n"/>
      <c r="K49" s="10" t="n"/>
      <c r="L49" s="18" t="n"/>
      <c r="M49" s="10" t="n"/>
      <c r="N49" s="18" t="n"/>
      <c r="O49" s="10" t="n"/>
      <c r="P49" s="19" t="n"/>
      <c r="Q49" s="10" t="n"/>
      <c r="R49" s="18" t="n"/>
      <c r="S49" s="20">
        <f>IF(COUNTA(B49:R49)=0,"",IF((IF(((B49="")+(C49="")+(D49="")+(E49="")+(F49="")+(H49="")+(I49="")+(J49="")+(M49="")+(Q49=""))&gt;0,"• حقول إلزامية ناقصة ","")&amp;IF(AND(D49&lt;&gt;"",COUNTIF($D$6:$D$205,D49)&gt;1),"• اسم المستخدم مكرر ","")&amp;IF(AND(D49&lt;&gt;"",ISNUMBER(SEARCH(" ",D49))),"• اسم المستخدم فيه مسافة ","")&amp;IF(AND(E49&lt;&gt;"",OR(ISERROR(SEARCH("@",E49)),ISERROR(SEARCH(".",E49)))),"• البريد غير صحيح ","")&amp;IF(AND(F49&lt;&gt;"",OR(LEN(F49)&lt;&gt;10,LEFT(F49,2)&lt;&gt;"05",ISERROR(--F49))),"• الجوال ليس بصيغة 05XXXXXXXX ","")&amp;IF(AND(L49&lt;&gt;"",OR(LEN(L49)&lt;2,LEN(L49)&gt;6,ISERROR(--L49),ISNUMBER(SEARCH(".",L49)))),"• التحويلة يجب أن تكون 2-6 أرقام ","")&amp;IF(AND(L49&lt;&gt;"",COUNTIF($L$6:$L$205,L49)&gt;1),"• التحويلة مكررة ","")&amp;IF(AND(M49="نعم",L49=""),"• يجري مكالمات بدون تحويلة ","")&amp;IF(AND(K49&lt;&gt;"",COUNTIF($D$6:$D$205,K49)=0),"• المشرف غير موجود في الجدول ","")&amp;IF(AND(J49="موظف تحصيل",K49=""),"• موظف التحصيل يحتاج مشرفاً ","")&amp;IF(AND(O49&lt;&gt;"",P49=""),"• نوع الهدف بدون قيمة ",""))="","✔ مكتمل",IF(((B49="")+(C49="")+(D49="")+(E49="")+(F49="")+(H49="")+(I49="")+(J49="")+(M49="")+(Q49=""))&gt;0,"• حقول إلزامية ناقصة ","")&amp;IF(AND(D49&lt;&gt;"",COUNTIF($D$6:$D$205,D49)&gt;1),"• اسم المستخدم مكرر ","")&amp;IF(AND(D49&lt;&gt;"",ISNUMBER(SEARCH(" ",D49))),"• اسم المستخدم فيه مسافة ","")&amp;IF(AND(E49&lt;&gt;"",OR(ISERROR(SEARCH("@",E49)),ISERROR(SEARCH(".",E49)))),"• البريد غير صحيح ","")&amp;IF(AND(F49&lt;&gt;"",OR(LEN(F49)&lt;&gt;10,LEFT(F49,2)&lt;&gt;"05",ISERROR(--F49))),"• الجوال ليس بصيغة 05XXXXXXXX ","")&amp;IF(AND(L49&lt;&gt;"",OR(LEN(L49)&lt;2,LEN(L49)&gt;6,ISERROR(--L49),ISNUMBER(SEARCH(".",L49)))),"• التحويلة يجب أن تكون 2-6 أرقام ","")&amp;IF(AND(L49&lt;&gt;"",COUNTIF($L$6:$L$205,L49)&gt;1),"• التحويلة مكررة ","")&amp;IF(AND(M49="نعم",L49=""),"• يجري مكالمات بدون تحويلة ","")&amp;IF(AND(K49&lt;&gt;"",COUNTIF($D$6:$D$205,K49)=0),"• المشرف غير موجود في الجدول ","")&amp;IF(AND(J49="موظف تحصيل",K49=""),"• موظف التحصيل يحتاج مشرفاً ","")&amp;IF(AND(O49&lt;&gt;"",P49=""),"• نوع الهدف بدون قيمة ","")))</f>
        <v/>
      </c>
    </row>
    <row r="50">
      <c r="A50" s="17">
        <f>IF(COUNTA(B50:R50)=0,"",ROW()-5)</f>
        <v/>
      </c>
      <c r="B50" s="18" t="n"/>
      <c r="C50" s="18" t="n"/>
      <c r="D50" s="18" t="n"/>
      <c r="E50" s="18" t="n"/>
      <c r="F50" s="18" t="n"/>
      <c r="G50" s="18" t="n"/>
      <c r="H50" s="10" t="n"/>
      <c r="I50" s="10" t="n"/>
      <c r="J50" s="10" t="n"/>
      <c r="K50" s="10" t="n"/>
      <c r="L50" s="18" t="n"/>
      <c r="M50" s="10" t="n"/>
      <c r="N50" s="18" t="n"/>
      <c r="O50" s="10" t="n"/>
      <c r="P50" s="19" t="n"/>
      <c r="Q50" s="10" t="n"/>
      <c r="R50" s="18" t="n"/>
      <c r="S50" s="20">
        <f>IF(COUNTA(B50:R50)=0,"",IF((IF(((B50="")+(C50="")+(D50="")+(E50="")+(F50="")+(H50="")+(I50="")+(J50="")+(M50="")+(Q50=""))&gt;0,"• حقول إلزامية ناقصة ","")&amp;IF(AND(D50&lt;&gt;"",COUNTIF($D$6:$D$205,D50)&gt;1),"• اسم المستخدم مكرر ","")&amp;IF(AND(D50&lt;&gt;"",ISNUMBER(SEARCH(" ",D50))),"• اسم المستخدم فيه مسافة ","")&amp;IF(AND(E50&lt;&gt;"",OR(ISERROR(SEARCH("@",E50)),ISERROR(SEARCH(".",E50)))),"• البريد غير صحيح ","")&amp;IF(AND(F50&lt;&gt;"",OR(LEN(F50)&lt;&gt;10,LEFT(F50,2)&lt;&gt;"05",ISERROR(--F50))),"• الجوال ليس بصيغة 05XXXXXXXX ","")&amp;IF(AND(L50&lt;&gt;"",OR(LEN(L50)&lt;2,LEN(L50)&gt;6,ISERROR(--L50),ISNUMBER(SEARCH(".",L50)))),"• التحويلة يجب أن تكون 2-6 أرقام ","")&amp;IF(AND(L50&lt;&gt;"",COUNTIF($L$6:$L$205,L50)&gt;1),"• التحويلة مكررة ","")&amp;IF(AND(M50="نعم",L50=""),"• يجري مكالمات بدون تحويلة ","")&amp;IF(AND(K50&lt;&gt;"",COUNTIF($D$6:$D$205,K50)=0),"• المشرف غير موجود في الجدول ","")&amp;IF(AND(J50="موظف تحصيل",K50=""),"• موظف التحصيل يحتاج مشرفاً ","")&amp;IF(AND(O50&lt;&gt;"",P50=""),"• نوع الهدف بدون قيمة ",""))="","✔ مكتمل",IF(((B50="")+(C50="")+(D50="")+(E50="")+(F50="")+(H50="")+(I50="")+(J50="")+(M50="")+(Q50=""))&gt;0,"• حقول إلزامية ناقصة ","")&amp;IF(AND(D50&lt;&gt;"",COUNTIF($D$6:$D$205,D50)&gt;1),"• اسم المستخدم مكرر ","")&amp;IF(AND(D50&lt;&gt;"",ISNUMBER(SEARCH(" ",D50))),"• اسم المستخدم فيه مسافة ","")&amp;IF(AND(E50&lt;&gt;"",OR(ISERROR(SEARCH("@",E50)),ISERROR(SEARCH(".",E50)))),"• البريد غير صحيح ","")&amp;IF(AND(F50&lt;&gt;"",OR(LEN(F50)&lt;&gt;10,LEFT(F50,2)&lt;&gt;"05",ISERROR(--F50))),"• الجوال ليس بصيغة 05XXXXXXXX ","")&amp;IF(AND(L50&lt;&gt;"",OR(LEN(L50)&lt;2,LEN(L50)&gt;6,ISERROR(--L50),ISNUMBER(SEARCH(".",L50)))),"• التحويلة يجب أن تكون 2-6 أرقام ","")&amp;IF(AND(L50&lt;&gt;"",COUNTIF($L$6:$L$205,L50)&gt;1),"• التحويلة مكررة ","")&amp;IF(AND(M50="نعم",L50=""),"• يجري مكالمات بدون تحويلة ","")&amp;IF(AND(K50&lt;&gt;"",COUNTIF($D$6:$D$205,K50)=0),"• المشرف غير موجود في الجدول ","")&amp;IF(AND(J50="موظف تحصيل",K50=""),"• موظف التحصيل يحتاج مشرفاً ","")&amp;IF(AND(O50&lt;&gt;"",P50=""),"• نوع الهدف بدون قيمة ","")))</f>
        <v/>
      </c>
    </row>
    <row r="51">
      <c r="A51" s="17">
        <f>IF(COUNTA(B51:R51)=0,"",ROW()-5)</f>
        <v/>
      </c>
      <c r="B51" s="18" t="n"/>
      <c r="C51" s="18" t="n"/>
      <c r="D51" s="18" t="n"/>
      <c r="E51" s="18" t="n"/>
      <c r="F51" s="18" t="n"/>
      <c r="G51" s="18" t="n"/>
      <c r="H51" s="10" t="n"/>
      <c r="I51" s="10" t="n"/>
      <c r="J51" s="10" t="n"/>
      <c r="K51" s="10" t="n"/>
      <c r="L51" s="18" t="n"/>
      <c r="M51" s="10" t="n"/>
      <c r="N51" s="18" t="n"/>
      <c r="O51" s="10" t="n"/>
      <c r="P51" s="19" t="n"/>
      <c r="Q51" s="10" t="n"/>
      <c r="R51" s="18" t="n"/>
      <c r="S51" s="20">
        <f>IF(COUNTA(B51:R51)=0,"",IF((IF(((B51="")+(C51="")+(D51="")+(E51="")+(F51="")+(H51="")+(I51="")+(J51="")+(M51="")+(Q51=""))&gt;0,"• حقول إلزامية ناقصة ","")&amp;IF(AND(D51&lt;&gt;"",COUNTIF($D$6:$D$205,D51)&gt;1),"• اسم المستخدم مكرر ","")&amp;IF(AND(D51&lt;&gt;"",ISNUMBER(SEARCH(" ",D51))),"• اسم المستخدم فيه مسافة ","")&amp;IF(AND(E51&lt;&gt;"",OR(ISERROR(SEARCH("@",E51)),ISERROR(SEARCH(".",E51)))),"• البريد غير صحيح ","")&amp;IF(AND(F51&lt;&gt;"",OR(LEN(F51)&lt;&gt;10,LEFT(F51,2)&lt;&gt;"05",ISERROR(--F51))),"• الجوال ليس بصيغة 05XXXXXXXX ","")&amp;IF(AND(L51&lt;&gt;"",OR(LEN(L51)&lt;2,LEN(L51)&gt;6,ISERROR(--L51),ISNUMBER(SEARCH(".",L51)))),"• التحويلة يجب أن تكون 2-6 أرقام ","")&amp;IF(AND(L51&lt;&gt;"",COUNTIF($L$6:$L$205,L51)&gt;1),"• التحويلة مكررة ","")&amp;IF(AND(M51="نعم",L51=""),"• يجري مكالمات بدون تحويلة ","")&amp;IF(AND(K51&lt;&gt;"",COUNTIF($D$6:$D$205,K51)=0),"• المشرف غير موجود في الجدول ","")&amp;IF(AND(J51="موظف تحصيل",K51=""),"• موظف التحصيل يحتاج مشرفاً ","")&amp;IF(AND(O51&lt;&gt;"",P51=""),"• نوع الهدف بدون قيمة ",""))="","✔ مكتمل",IF(((B51="")+(C51="")+(D51="")+(E51="")+(F51="")+(H51="")+(I51="")+(J51="")+(M51="")+(Q51=""))&gt;0,"• حقول إلزامية ناقصة ","")&amp;IF(AND(D51&lt;&gt;"",COUNTIF($D$6:$D$205,D51)&gt;1),"• اسم المستخدم مكرر ","")&amp;IF(AND(D51&lt;&gt;"",ISNUMBER(SEARCH(" ",D51))),"• اسم المستخدم فيه مسافة ","")&amp;IF(AND(E51&lt;&gt;"",OR(ISERROR(SEARCH("@",E51)),ISERROR(SEARCH(".",E51)))),"• البريد غير صحيح ","")&amp;IF(AND(F51&lt;&gt;"",OR(LEN(F51)&lt;&gt;10,LEFT(F51,2)&lt;&gt;"05",ISERROR(--F51))),"• الجوال ليس بصيغة 05XXXXXXXX ","")&amp;IF(AND(L51&lt;&gt;"",OR(LEN(L51)&lt;2,LEN(L51)&gt;6,ISERROR(--L51),ISNUMBER(SEARCH(".",L51)))),"• التحويلة يجب أن تكون 2-6 أرقام ","")&amp;IF(AND(L51&lt;&gt;"",COUNTIF($L$6:$L$205,L51)&gt;1),"• التحويلة مكررة ","")&amp;IF(AND(M51="نعم",L51=""),"• يجري مكالمات بدون تحويلة ","")&amp;IF(AND(K51&lt;&gt;"",COUNTIF($D$6:$D$205,K51)=0),"• المشرف غير موجود في الجدول ","")&amp;IF(AND(J51="موظف تحصيل",K51=""),"• موظف التحصيل يحتاج مشرفاً ","")&amp;IF(AND(O51&lt;&gt;"",P51=""),"• نوع الهدف بدون قيمة ","")))</f>
        <v/>
      </c>
    </row>
    <row r="52">
      <c r="A52" s="17">
        <f>IF(COUNTA(B52:R52)=0,"",ROW()-5)</f>
        <v/>
      </c>
      <c r="B52" s="18" t="n"/>
      <c r="C52" s="18" t="n"/>
      <c r="D52" s="18" t="n"/>
      <c r="E52" s="18" t="n"/>
      <c r="F52" s="18" t="n"/>
      <c r="G52" s="18" t="n"/>
      <c r="H52" s="10" t="n"/>
      <c r="I52" s="10" t="n"/>
      <c r="J52" s="10" t="n"/>
      <c r="K52" s="10" t="n"/>
      <c r="L52" s="18" t="n"/>
      <c r="M52" s="10" t="n"/>
      <c r="N52" s="18" t="n"/>
      <c r="O52" s="10" t="n"/>
      <c r="P52" s="19" t="n"/>
      <c r="Q52" s="10" t="n"/>
      <c r="R52" s="18" t="n"/>
      <c r="S52" s="20">
        <f>IF(COUNTA(B52:R52)=0,"",IF((IF(((B52="")+(C52="")+(D52="")+(E52="")+(F52="")+(H52="")+(I52="")+(J52="")+(M52="")+(Q52=""))&gt;0,"• حقول إلزامية ناقصة ","")&amp;IF(AND(D52&lt;&gt;"",COUNTIF($D$6:$D$205,D52)&gt;1),"• اسم المستخدم مكرر ","")&amp;IF(AND(D52&lt;&gt;"",ISNUMBER(SEARCH(" ",D52))),"• اسم المستخدم فيه مسافة ","")&amp;IF(AND(E52&lt;&gt;"",OR(ISERROR(SEARCH("@",E52)),ISERROR(SEARCH(".",E52)))),"• البريد غير صحيح ","")&amp;IF(AND(F52&lt;&gt;"",OR(LEN(F52)&lt;&gt;10,LEFT(F52,2)&lt;&gt;"05",ISERROR(--F52))),"• الجوال ليس بصيغة 05XXXXXXXX ","")&amp;IF(AND(L52&lt;&gt;"",OR(LEN(L52)&lt;2,LEN(L52)&gt;6,ISERROR(--L52),ISNUMBER(SEARCH(".",L52)))),"• التحويلة يجب أن تكون 2-6 أرقام ","")&amp;IF(AND(L52&lt;&gt;"",COUNTIF($L$6:$L$205,L52)&gt;1),"• التحويلة مكررة ","")&amp;IF(AND(M52="نعم",L52=""),"• يجري مكالمات بدون تحويلة ","")&amp;IF(AND(K52&lt;&gt;"",COUNTIF($D$6:$D$205,K52)=0),"• المشرف غير موجود في الجدول ","")&amp;IF(AND(J52="موظف تحصيل",K52=""),"• موظف التحصيل يحتاج مشرفاً ","")&amp;IF(AND(O52&lt;&gt;"",P52=""),"• نوع الهدف بدون قيمة ",""))="","✔ مكتمل",IF(((B52="")+(C52="")+(D52="")+(E52="")+(F52="")+(H52="")+(I52="")+(J52="")+(M52="")+(Q52=""))&gt;0,"• حقول إلزامية ناقصة ","")&amp;IF(AND(D52&lt;&gt;"",COUNTIF($D$6:$D$205,D52)&gt;1),"• اسم المستخدم مكرر ","")&amp;IF(AND(D52&lt;&gt;"",ISNUMBER(SEARCH(" ",D52))),"• اسم المستخدم فيه مسافة ","")&amp;IF(AND(E52&lt;&gt;"",OR(ISERROR(SEARCH("@",E52)),ISERROR(SEARCH(".",E52)))),"• البريد غير صحيح ","")&amp;IF(AND(F52&lt;&gt;"",OR(LEN(F52)&lt;&gt;10,LEFT(F52,2)&lt;&gt;"05",ISERROR(--F52))),"• الجوال ليس بصيغة 05XXXXXXXX ","")&amp;IF(AND(L52&lt;&gt;"",OR(LEN(L52)&lt;2,LEN(L52)&gt;6,ISERROR(--L52),ISNUMBER(SEARCH(".",L52)))),"• التحويلة يجب أن تكون 2-6 أرقام ","")&amp;IF(AND(L52&lt;&gt;"",COUNTIF($L$6:$L$205,L52)&gt;1),"• التحويلة مكررة ","")&amp;IF(AND(M52="نعم",L52=""),"• يجري مكالمات بدون تحويلة ","")&amp;IF(AND(K52&lt;&gt;"",COUNTIF($D$6:$D$205,K52)=0),"• المشرف غير موجود في الجدول ","")&amp;IF(AND(J52="موظف تحصيل",K52=""),"• موظف التحصيل يحتاج مشرفاً ","")&amp;IF(AND(O52&lt;&gt;"",P52=""),"• نوع الهدف بدون قيمة ","")))</f>
        <v/>
      </c>
    </row>
    <row r="53">
      <c r="A53" s="17">
        <f>IF(COUNTA(B53:R53)=0,"",ROW()-5)</f>
        <v/>
      </c>
      <c r="B53" s="18" t="n"/>
      <c r="C53" s="18" t="n"/>
      <c r="D53" s="18" t="n"/>
      <c r="E53" s="18" t="n"/>
      <c r="F53" s="18" t="n"/>
      <c r="G53" s="18" t="n"/>
      <c r="H53" s="10" t="n"/>
      <c r="I53" s="10" t="n"/>
      <c r="J53" s="10" t="n"/>
      <c r="K53" s="10" t="n"/>
      <c r="L53" s="18" t="n"/>
      <c r="M53" s="10" t="n"/>
      <c r="N53" s="18" t="n"/>
      <c r="O53" s="10" t="n"/>
      <c r="P53" s="19" t="n"/>
      <c r="Q53" s="10" t="n"/>
      <c r="R53" s="18" t="n"/>
      <c r="S53" s="20">
        <f>IF(COUNTA(B53:R53)=0,"",IF((IF(((B53="")+(C53="")+(D53="")+(E53="")+(F53="")+(H53="")+(I53="")+(J53="")+(M53="")+(Q53=""))&gt;0,"• حقول إلزامية ناقصة ","")&amp;IF(AND(D53&lt;&gt;"",COUNTIF($D$6:$D$205,D53)&gt;1),"• اسم المستخدم مكرر ","")&amp;IF(AND(D53&lt;&gt;"",ISNUMBER(SEARCH(" ",D53))),"• اسم المستخدم فيه مسافة ","")&amp;IF(AND(E53&lt;&gt;"",OR(ISERROR(SEARCH("@",E53)),ISERROR(SEARCH(".",E53)))),"• البريد غير صحيح ","")&amp;IF(AND(F53&lt;&gt;"",OR(LEN(F53)&lt;&gt;10,LEFT(F53,2)&lt;&gt;"05",ISERROR(--F53))),"• الجوال ليس بصيغة 05XXXXXXXX ","")&amp;IF(AND(L53&lt;&gt;"",OR(LEN(L53)&lt;2,LEN(L53)&gt;6,ISERROR(--L53),ISNUMBER(SEARCH(".",L53)))),"• التحويلة يجب أن تكون 2-6 أرقام ","")&amp;IF(AND(L53&lt;&gt;"",COUNTIF($L$6:$L$205,L53)&gt;1),"• التحويلة مكررة ","")&amp;IF(AND(M53="نعم",L53=""),"• يجري مكالمات بدون تحويلة ","")&amp;IF(AND(K53&lt;&gt;"",COUNTIF($D$6:$D$205,K53)=0),"• المشرف غير موجود في الجدول ","")&amp;IF(AND(J53="موظف تحصيل",K53=""),"• موظف التحصيل يحتاج مشرفاً ","")&amp;IF(AND(O53&lt;&gt;"",P53=""),"• نوع الهدف بدون قيمة ",""))="","✔ مكتمل",IF(((B53="")+(C53="")+(D53="")+(E53="")+(F53="")+(H53="")+(I53="")+(J53="")+(M53="")+(Q53=""))&gt;0,"• حقول إلزامية ناقصة ","")&amp;IF(AND(D53&lt;&gt;"",COUNTIF($D$6:$D$205,D53)&gt;1),"• اسم المستخدم مكرر ","")&amp;IF(AND(D53&lt;&gt;"",ISNUMBER(SEARCH(" ",D53))),"• اسم المستخدم فيه مسافة ","")&amp;IF(AND(E53&lt;&gt;"",OR(ISERROR(SEARCH("@",E53)),ISERROR(SEARCH(".",E53)))),"• البريد غير صحيح ","")&amp;IF(AND(F53&lt;&gt;"",OR(LEN(F53)&lt;&gt;10,LEFT(F53,2)&lt;&gt;"05",ISERROR(--F53))),"• الجوال ليس بصيغة 05XXXXXXXX ","")&amp;IF(AND(L53&lt;&gt;"",OR(LEN(L53)&lt;2,LEN(L53)&gt;6,ISERROR(--L53),ISNUMBER(SEARCH(".",L53)))),"• التحويلة يجب أن تكون 2-6 أرقام ","")&amp;IF(AND(L53&lt;&gt;"",COUNTIF($L$6:$L$205,L53)&gt;1),"• التحويلة مكررة ","")&amp;IF(AND(M53="نعم",L53=""),"• يجري مكالمات بدون تحويلة ","")&amp;IF(AND(K53&lt;&gt;"",COUNTIF($D$6:$D$205,K53)=0),"• المشرف غير موجود في الجدول ","")&amp;IF(AND(J53="موظف تحصيل",K53=""),"• موظف التحصيل يحتاج مشرفاً ","")&amp;IF(AND(O53&lt;&gt;"",P53=""),"• نوع الهدف بدون قيمة ","")))</f>
        <v/>
      </c>
    </row>
    <row r="54">
      <c r="A54" s="17">
        <f>IF(COUNTA(B54:R54)=0,"",ROW()-5)</f>
        <v/>
      </c>
      <c r="B54" s="18" t="n"/>
      <c r="C54" s="18" t="n"/>
      <c r="D54" s="18" t="n"/>
      <c r="E54" s="18" t="n"/>
      <c r="F54" s="18" t="n"/>
      <c r="G54" s="18" t="n"/>
      <c r="H54" s="10" t="n"/>
      <c r="I54" s="10" t="n"/>
      <c r="J54" s="10" t="n"/>
      <c r="K54" s="10" t="n"/>
      <c r="L54" s="18" t="n"/>
      <c r="M54" s="10" t="n"/>
      <c r="N54" s="18" t="n"/>
      <c r="O54" s="10" t="n"/>
      <c r="P54" s="19" t="n"/>
      <c r="Q54" s="10" t="n"/>
      <c r="R54" s="18" t="n"/>
      <c r="S54" s="20">
        <f>IF(COUNTA(B54:R54)=0,"",IF((IF(((B54="")+(C54="")+(D54="")+(E54="")+(F54="")+(H54="")+(I54="")+(J54="")+(M54="")+(Q54=""))&gt;0,"• حقول إلزامية ناقصة ","")&amp;IF(AND(D54&lt;&gt;"",COUNTIF($D$6:$D$205,D54)&gt;1),"• اسم المستخدم مكرر ","")&amp;IF(AND(D54&lt;&gt;"",ISNUMBER(SEARCH(" ",D54))),"• اسم المستخدم فيه مسافة ","")&amp;IF(AND(E54&lt;&gt;"",OR(ISERROR(SEARCH("@",E54)),ISERROR(SEARCH(".",E54)))),"• البريد غير صحيح ","")&amp;IF(AND(F54&lt;&gt;"",OR(LEN(F54)&lt;&gt;10,LEFT(F54,2)&lt;&gt;"05",ISERROR(--F54))),"• الجوال ليس بصيغة 05XXXXXXXX ","")&amp;IF(AND(L54&lt;&gt;"",OR(LEN(L54)&lt;2,LEN(L54)&gt;6,ISERROR(--L54),ISNUMBER(SEARCH(".",L54)))),"• التحويلة يجب أن تكون 2-6 أرقام ","")&amp;IF(AND(L54&lt;&gt;"",COUNTIF($L$6:$L$205,L54)&gt;1),"• التحويلة مكررة ","")&amp;IF(AND(M54="نعم",L54=""),"• يجري مكالمات بدون تحويلة ","")&amp;IF(AND(K54&lt;&gt;"",COUNTIF($D$6:$D$205,K54)=0),"• المشرف غير موجود في الجدول ","")&amp;IF(AND(J54="موظف تحصيل",K54=""),"• موظف التحصيل يحتاج مشرفاً ","")&amp;IF(AND(O54&lt;&gt;"",P54=""),"• نوع الهدف بدون قيمة ",""))="","✔ مكتمل",IF(((B54="")+(C54="")+(D54="")+(E54="")+(F54="")+(H54="")+(I54="")+(J54="")+(M54="")+(Q54=""))&gt;0,"• حقول إلزامية ناقصة ","")&amp;IF(AND(D54&lt;&gt;"",COUNTIF($D$6:$D$205,D54)&gt;1),"• اسم المستخدم مكرر ","")&amp;IF(AND(D54&lt;&gt;"",ISNUMBER(SEARCH(" ",D54))),"• اسم المستخدم فيه مسافة ","")&amp;IF(AND(E54&lt;&gt;"",OR(ISERROR(SEARCH("@",E54)),ISERROR(SEARCH(".",E54)))),"• البريد غير صحيح ","")&amp;IF(AND(F54&lt;&gt;"",OR(LEN(F54)&lt;&gt;10,LEFT(F54,2)&lt;&gt;"05",ISERROR(--F54))),"• الجوال ليس بصيغة 05XXXXXXXX ","")&amp;IF(AND(L54&lt;&gt;"",OR(LEN(L54)&lt;2,LEN(L54)&gt;6,ISERROR(--L54),ISNUMBER(SEARCH(".",L54)))),"• التحويلة يجب أن تكون 2-6 أرقام ","")&amp;IF(AND(L54&lt;&gt;"",COUNTIF($L$6:$L$205,L54)&gt;1),"• التحويلة مكررة ","")&amp;IF(AND(M54="نعم",L54=""),"• يجري مكالمات بدون تحويلة ","")&amp;IF(AND(K54&lt;&gt;"",COUNTIF($D$6:$D$205,K54)=0),"• المشرف غير موجود في الجدول ","")&amp;IF(AND(J54="موظف تحصيل",K54=""),"• موظف التحصيل يحتاج مشرفاً ","")&amp;IF(AND(O54&lt;&gt;"",P54=""),"• نوع الهدف بدون قيمة ","")))</f>
        <v/>
      </c>
    </row>
    <row r="55">
      <c r="A55" s="17">
        <f>IF(COUNTA(B55:R55)=0,"",ROW()-5)</f>
        <v/>
      </c>
      <c r="B55" s="18" t="n"/>
      <c r="C55" s="18" t="n"/>
      <c r="D55" s="18" t="n"/>
      <c r="E55" s="18" t="n"/>
      <c r="F55" s="18" t="n"/>
      <c r="G55" s="18" t="n"/>
      <c r="H55" s="10" t="n"/>
      <c r="I55" s="10" t="n"/>
      <c r="J55" s="10" t="n"/>
      <c r="K55" s="10" t="n"/>
      <c r="L55" s="18" t="n"/>
      <c r="M55" s="10" t="n"/>
      <c r="N55" s="18" t="n"/>
      <c r="O55" s="10" t="n"/>
      <c r="P55" s="19" t="n"/>
      <c r="Q55" s="10" t="n"/>
      <c r="R55" s="18" t="n"/>
      <c r="S55" s="20">
        <f>IF(COUNTA(B55:R55)=0,"",IF((IF(((B55="")+(C55="")+(D55="")+(E55="")+(F55="")+(H55="")+(I55="")+(J55="")+(M55="")+(Q55=""))&gt;0,"• حقول إلزامية ناقصة ","")&amp;IF(AND(D55&lt;&gt;"",COUNTIF($D$6:$D$205,D55)&gt;1),"• اسم المستخدم مكرر ","")&amp;IF(AND(D55&lt;&gt;"",ISNUMBER(SEARCH(" ",D55))),"• اسم المستخدم فيه مسافة ","")&amp;IF(AND(E55&lt;&gt;"",OR(ISERROR(SEARCH("@",E55)),ISERROR(SEARCH(".",E55)))),"• البريد غير صحيح ","")&amp;IF(AND(F55&lt;&gt;"",OR(LEN(F55)&lt;&gt;10,LEFT(F55,2)&lt;&gt;"05",ISERROR(--F55))),"• الجوال ليس بصيغة 05XXXXXXXX ","")&amp;IF(AND(L55&lt;&gt;"",OR(LEN(L55)&lt;2,LEN(L55)&gt;6,ISERROR(--L55),ISNUMBER(SEARCH(".",L55)))),"• التحويلة يجب أن تكون 2-6 أرقام ","")&amp;IF(AND(L55&lt;&gt;"",COUNTIF($L$6:$L$205,L55)&gt;1),"• التحويلة مكررة ","")&amp;IF(AND(M55="نعم",L55=""),"• يجري مكالمات بدون تحويلة ","")&amp;IF(AND(K55&lt;&gt;"",COUNTIF($D$6:$D$205,K55)=0),"• المشرف غير موجود في الجدول ","")&amp;IF(AND(J55="موظف تحصيل",K55=""),"• موظف التحصيل يحتاج مشرفاً ","")&amp;IF(AND(O55&lt;&gt;"",P55=""),"• نوع الهدف بدون قيمة ",""))="","✔ مكتمل",IF(((B55="")+(C55="")+(D55="")+(E55="")+(F55="")+(H55="")+(I55="")+(J55="")+(M55="")+(Q55=""))&gt;0,"• حقول إلزامية ناقصة ","")&amp;IF(AND(D55&lt;&gt;"",COUNTIF($D$6:$D$205,D55)&gt;1),"• اسم المستخدم مكرر ","")&amp;IF(AND(D55&lt;&gt;"",ISNUMBER(SEARCH(" ",D55))),"• اسم المستخدم فيه مسافة ","")&amp;IF(AND(E55&lt;&gt;"",OR(ISERROR(SEARCH("@",E55)),ISERROR(SEARCH(".",E55)))),"• البريد غير صحيح ","")&amp;IF(AND(F55&lt;&gt;"",OR(LEN(F55)&lt;&gt;10,LEFT(F55,2)&lt;&gt;"05",ISERROR(--F55))),"• الجوال ليس بصيغة 05XXXXXXXX ","")&amp;IF(AND(L55&lt;&gt;"",OR(LEN(L55)&lt;2,LEN(L55)&gt;6,ISERROR(--L55),ISNUMBER(SEARCH(".",L55)))),"• التحويلة يجب أن تكون 2-6 أرقام ","")&amp;IF(AND(L55&lt;&gt;"",COUNTIF($L$6:$L$205,L55)&gt;1),"• التحويلة مكررة ","")&amp;IF(AND(M55="نعم",L55=""),"• يجري مكالمات بدون تحويلة ","")&amp;IF(AND(K55&lt;&gt;"",COUNTIF($D$6:$D$205,K55)=0),"• المشرف غير موجود في الجدول ","")&amp;IF(AND(J55="موظف تحصيل",K55=""),"• موظف التحصيل يحتاج مشرفاً ","")&amp;IF(AND(O55&lt;&gt;"",P55=""),"• نوع الهدف بدون قيمة ","")))</f>
        <v/>
      </c>
    </row>
    <row r="56">
      <c r="A56" s="17">
        <f>IF(COUNTA(B56:R56)=0,"",ROW()-5)</f>
        <v/>
      </c>
      <c r="B56" s="18" t="n"/>
      <c r="C56" s="18" t="n"/>
      <c r="D56" s="18" t="n"/>
      <c r="E56" s="18" t="n"/>
      <c r="F56" s="18" t="n"/>
      <c r="G56" s="18" t="n"/>
      <c r="H56" s="10" t="n"/>
      <c r="I56" s="10" t="n"/>
      <c r="J56" s="10" t="n"/>
      <c r="K56" s="10" t="n"/>
      <c r="L56" s="18" t="n"/>
      <c r="M56" s="10" t="n"/>
      <c r="N56" s="18" t="n"/>
      <c r="O56" s="10" t="n"/>
      <c r="P56" s="19" t="n"/>
      <c r="Q56" s="10" t="n"/>
      <c r="R56" s="18" t="n"/>
      <c r="S56" s="20">
        <f>IF(COUNTA(B56:R56)=0,"",IF((IF(((B56="")+(C56="")+(D56="")+(E56="")+(F56="")+(H56="")+(I56="")+(J56="")+(M56="")+(Q56=""))&gt;0,"• حقول إلزامية ناقصة ","")&amp;IF(AND(D56&lt;&gt;"",COUNTIF($D$6:$D$205,D56)&gt;1),"• اسم المستخدم مكرر ","")&amp;IF(AND(D56&lt;&gt;"",ISNUMBER(SEARCH(" ",D56))),"• اسم المستخدم فيه مسافة ","")&amp;IF(AND(E56&lt;&gt;"",OR(ISERROR(SEARCH("@",E56)),ISERROR(SEARCH(".",E56)))),"• البريد غير صحيح ","")&amp;IF(AND(F56&lt;&gt;"",OR(LEN(F56)&lt;&gt;10,LEFT(F56,2)&lt;&gt;"05",ISERROR(--F56))),"• الجوال ليس بصيغة 05XXXXXXXX ","")&amp;IF(AND(L56&lt;&gt;"",OR(LEN(L56)&lt;2,LEN(L56)&gt;6,ISERROR(--L56),ISNUMBER(SEARCH(".",L56)))),"• التحويلة يجب أن تكون 2-6 أرقام ","")&amp;IF(AND(L56&lt;&gt;"",COUNTIF($L$6:$L$205,L56)&gt;1),"• التحويلة مكررة ","")&amp;IF(AND(M56="نعم",L56=""),"• يجري مكالمات بدون تحويلة ","")&amp;IF(AND(K56&lt;&gt;"",COUNTIF($D$6:$D$205,K56)=0),"• المشرف غير موجود في الجدول ","")&amp;IF(AND(J56="موظف تحصيل",K56=""),"• موظف التحصيل يحتاج مشرفاً ","")&amp;IF(AND(O56&lt;&gt;"",P56=""),"• نوع الهدف بدون قيمة ",""))="","✔ مكتمل",IF(((B56="")+(C56="")+(D56="")+(E56="")+(F56="")+(H56="")+(I56="")+(J56="")+(M56="")+(Q56=""))&gt;0,"• حقول إلزامية ناقصة ","")&amp;IF(AND(D56&lt;&gt;"",COUNTIF($D$6:$D$205,D56)&gt;1),"• اسم المستخدم مكرر ","")&amp;IF(AND(D56&lt;&gt;"",ISNUMBER(SEARCH(" ",D56))),"• اسم المستخدم فيه مسافة ","")&amp;IF(AND(E56&lt;&gt;"",OR(ISERROR(SEARCH("@",E56)),ISERROR(SEARCH(".",E56)))),"• البريد غير صحيح ","")&amp;IF(AND(F56&lt;&gt;"",OR(LEN(F56)&lt;&gt;10,LEFT(F56,2)&lt;&gt;"05",ISERROR(--F56))),"• الجوال ليس بصيغة 05XXXXXXXX ","")&amp;IF(AND(L56&lt;&gt;"",OR(LEN(L56)&lt;2,LEN(L56)&gt;6,ISERROR(--L56),ISNUMBER(SEARCH(".",L56)))),"• التحويلة يجب أن تكون 2-6 أرقام ","")&amp;IF(AND(L56&lt;&gt;"",COUNTIF($L$6:$L$205,L56)&gt;1),"• التحويلة مكررة ","")&amp;IF(AND(M56="نعم",L56=""),"• يجري مكالمات بدون تحويلة ","")&amp;IF(AND(K56&lt;&gt;"",COUNTIF($D$6:$D$205,K56)=0),"• المشرف غير موجود في الجدول ","")&amp;IF(AND(J56="موظف تحصيل",K56=""),"• موظف التحصيل يحتاج مشرفاً ","")&amp;IF(AND(O56&lt;&gt;"",P56=""),"• نوع الهدف بدون قيمة ","")))</f>
        <v/>
      </c>
    </row>
    <row r="57">
      <c r="A57" s="17">
        <f>IF(COUNTA(B57:R57)=0,"",ROW()-5)</f>
        <v/>
      </c>
      <c r="B57" s="18" t="n"/>
      <c r="C57" s="18" t="n"/>
      <c r="D57" s="18" t="n"/>
      <c r="E57" s="18" t="n"/>
      <c r="F57" s="18" t="n"/>
      <c r="G57" s="18" t="n"/>
      <c r="H57" s="10" t="n"/>
      <c r="I57" s="10" t="n"/>
      <c r="J57" s="10" t="n"/>
      <c r="K57" s="10" t="n"/>
      <c r="L57" s="18" t="n"/>
      <c r="M57" s="10" t="n"/>
      <c r="N57" s="18" t="n"/>
      <c r="O57" s="10" t="n"/>
      <c r="P57" s="19" t="n"/>
      <c r="Q57" s="10" t="n"/>
      <c r="R57" s="18" t="n"/>
      <c r="S57" s="20">
        <f>IF(COUNTA(B57:R57)=0,"",IF((IF(((B57="")+(C57="")+(D57="")+(E57="")+(F57="")+(H57="")+(I57="")+(J57="")+(M57="")+(Q57=""))&gt;0,"• حقول إلزامية ناقصة ","")&amp;IF(AND(D57&lt;&gt;"",COUNTIF($D$6:$D$205,D57)&gt;1),"• اسم المستخدم مكرر ","")&amp;IF(AND(D57&lt;&gt;"",ISNUMBER(SEARCH(" ",D57))),"• اسم المستخدم فيه مسافة ","")&amp;IF(AND(E57&lt;&gt;"",OR(ISERROR(SEARCH("@",E57)),ISERROR(SEARCH(".",E57)))),"• البريد غير صحيح ","")&amp;IF(AND(F57&lt;&gt;"",OR(LEN(F57)&lt;&gt;10,LEFT(F57,2)&lt;&gt;"05",ISERROR(--F57))),"• الجوال ليس بصيغة 05XXXXXXXX ","")&amp;IF(AND(L57&lt;&gt;"",OR(LEN(L57)&lt;2,LEN(L57)&gt;6,ISERROR(--L57),ISNUMBER(SEARCH(".",L57)))),"• التحويلة يجب أن تكون 2-6 أرقام ","")&amp;IF(AND(L57&lt;&gt;"",COUNTIF($L$6:$L$205,L57)&gt;1),"• التحويلة مكررة ","")&amp;IF(AND(M57="نعم",L57=""),"• يجري مكالمات بدون تحويلة ","")&amp;IF(AND(K57&lt;&gt;"",COUNTIF($D$6:$D$205,K57)=0),"• المشرف غير موجود في الجدول ","")&amp;IF(AND(J57="موظف تحصيل",K57=""),"• موظف التحصيل يحتاج مشرفاً ","")&amp;IF(AND(O57&lt;&gt;"",P57=""),"• نوع الهدف بدون قيمة ",""))="","✔ مكتمل",IF(((B57="")+(C57="")+(D57="")+(E57="")+(F57="")+(H57="")+(I57="")+(J57="")+(M57="")+(Q57=""))&gt;0,"• حقول إلزامية ناقصة ","")&amp;IF(AND(D57&lt;&gt;"",COUNTIF($D$6:$D$205,D57)&gt;1),"• اسم المستخدم مكرر ","")&amp;IF(AND(D57&lt;&gt;"",ISNUMBER(SEARCH(" ",D57))),"• اسم المستخدم فيه مسافة ","")&amp;IF(AND(E57&lt;&gt;"",OR(ISERROR(SEARCH("@",E57)),ISERROR(SEARCH(".",E57)))),"• البريد غير صحيح ","")&amp;IF(AND(F57&lt;&gt;"",OR(LEN(F57)&lt;&gt;10,LEFT(F57,2)&lt;&gt;"05",ISERROR(--F57))),"• الجوال ليس بصيغة 05XXXXXXXX ","")&amp;IF(AND(L57&lt;&gt;"",OR(LEN(L57)&lt;2,LEN(L57)&gt;6,ISERROR(--L57),ISNUMBER(SEARCH(".",L57)))),"• التحويلة يجب أن تكون 2-6 أرقام ","")&amp;IF(AND(L57&lt;&gt;"",COUNTIF($L$6:$L$205,L57)&gt;1),"• التحويلة مكررة ","")&amp;IF(AND(M57="نعم",L57=""),"• يجري مكالمات بدون تحويلة ","")&amp;IF(AND(K57&lt;&gt;"",COUNTIF($D$6:$D$205,K57)=0),"• المشرف غير موجود في الجدول ","")&amp;IF(AND(J57="موظف تحصيل",K57=""),"• موظف التحصيل يحتاج مشرفاً ","")&amp;IF(AND(O57&lt;&gt;"",P57=""),"• نوع الهدف بدون قيمة ","")))</f>
        <v/>
      </c>
    </row>
    <row r="58">
      <c r="A58" s="17">
        <f>IF(COUNTA(B58:R58)=0,"",ROW()-5)</f>
        <v/>
      </c>
      <c r="B58" s="18" t="n"/>
      <c r="C58" s="18" t="n"/>
      <c r="D58" s="18" t="n"/>
      <c r="E58" s="18" t="n"/>
      <c r="F58" s="18" t="n"/>
      <c r="G58" s="18" t="n"/>
      <c r="H58" s="10" t="n"/>
      <c r="I58" s="10" t="n"/>
      <c r="J58" s="10" t="n"/>
      <c r="K58" s="10" t="n"/>
      <c r="L58" s="18" t="n"/>
      <c r="M58" s="10" t="n"/>
      <c r="N58" s="18" t="n"/>
      <c r="O58" s="10" t="n"/>
      <c r="P58" s="19" t="n"/>
      <c r="Q58" s="10" t="n"/>
      <c r="R58" s="18" t="n"/>
      <c r="S58" s="20">
        <f>IF(COUNTA(B58:R58)=0,"",IF((IF(((B58="")+(C58="")+(D58="")+(E58="")+(F58="")+(H58="")+(I58="")+(J58="")+(M58="")+(Q58=""))&gt;0,"• حقول إلزامية ناقصة ","")&amp;IF(AND(D58&lt;&gt;"",COUNTIF($D$6:$D$205,D58)&gt;1),"• اسم المستخدم مكرر ","")&amp;IF(AND(D58&lt;&gt;"",ISNUMBER(SEARCH(" ",D58))),"• اسم المستخدم فيه مسافة ","")&amp;IF(AND(E58&lt;&gt;"",OR(ISERROR(SEARCH("@",E58)),ISERROR(SEARCH(".",E58)))),"• البريد غير صحيح ","")&amp;IF(AND(F58&lt;&gt;"",OR(LEN(F58)&lt;&gt;10,LEFT(F58,2)&lt;&gt;"05",ISERROR(--F58))),"• الجوال ليس بصيغة 05XXXXXXXX ","")&amp;IF(AND(L58&lt;&gt;"",OR(LEN(L58)&lt;2,LEN(L58)&gt;6,ISERROR(--L58),ISNUMBER(SEARCH(".",L58)))),"• التحويلة يجب أن تكون 2-6 أرقام ","")&amp;IF(AND(L58&lt;&gt;"",COUNTIF($L$6:$L$205,L58)&gt;1),"• التحويلة مكررة ","")&amp;IF(AND(M58="نعم",L58=""),"• يجري مكالمات بدون تحويلة ","")&amp;IF(AND(K58&lt;&gt;"",COUNTIF($D$6:$D$205,K58)=0),"• المشرف غير موجود في الجدول ","")&amp;IF(AND(J58="موظف تحصيل",K58=""),"• موظف التحصيل يحتاج مشرفاً ","")&amp;IF(AND(O58&lt;&gt;"",P58=""),"• نوع الهدف بدون قيمة ",""))="","✔ مكتمل",IF(((B58="")+(C58="")+(D58="")+(E58="")+(F58="")+(H58="")+(I58="")+(J58="")+(M58="")+(Q58=""))&gt;0,"• حقول إلزامية ناقصة ","")&amp;IF(AND(D58&lt;&gt;"",COUNTIF($D$6:$D$205,D58)&gt;1),"• اسم المستخدم مكرر ","")&amp;IF(AND(D58&lt;&gt;"",ISNUMBER(SEARCH(" ",D58))),"• اسم المستخدم فيه مسافة ","")&amp;IF(AND(E58&lt;&gt;"",OR(ISERROR(SEARCH("@",E58)),ISERROR(SEARCH(".",E58)))),"• البريد غير صحيح ","")&amp;IF(AND(F58&lt;&gt;"",OR(LEN(F58)&lt;&gt;10,LEFT(F58,2)&lt;&gt;"05",ISERROR(--F58))),"• الجوال ليس بصيغة 05XXXXXXXX ","")&amp;IF(AND(L58&lt;&gt;"",OR(LEN(L58)&lt;2,LEN(L58)&gt;6,ISERROR(--L58),ISNUMBER(SEARCH(".",L58)))),"• التحويلة يجب أن تكون 2-6 أرقام ","")&amp;IF(AND(L58&lt;&gt;"",COUNTIF($L$6:$L$205,L58)&gt;1),"• التحويلة مكررة ","")&amp;IF(AND(M58="نعم",L58=""),"• يجري مكالمات بدون تحويلة ","")&amp;IF(AND(K58&lt;&gt;"",COUNTIF($D$6:$D$205,K58)=0),"• المشرف غير موجود في الجدول ","")&amp;IF(AND(J58="موظف تحصيل",K58=""),"• موظف التحصيل يحتاج مشرفاً ","")&amp;IF(AND(O58&lt;&gt;"",P58=""),"• نوع الهدف بدون قيمة ","")))</f>
        <v/>
      </c>
    </row>
    <row r="59">
      <c r="A59" s="17">
        <f>IF(COUNTA(B59:R59)=0,"",ROW()-5)</f>
        <v/>
      </c>
      <c r="B59" s="18" t="n"/>
      <c r="C59" s="18" t="n"/>
      <c r="D59" s="18" t="n"/>
      <c r="E59" s="18" t="n"/>
      <c r="F59" s="18" t="n"/>
      <c r="G59" s="18" t="n"/>
      <c r="H59" s="10" t="n"/>
      <c r="I59" s="10" t="n"/>
      <c r="J59" s="10" t="n"/>
      <c r="K59" s="10" t="n"/>
      <c r="L59" s="18" t="n"/>
      <c r="M59" s="10" t="n"/>
      <c r="N59" s="18" t="n"/>
      <c r="O59" s="10" t="n"/>
      <c r="P59" s="19" t="n"/>
      <c r="Q59" s="10" t="n"/>
      <c r="R59" s="18" t="n"/>
      <c r="S59" s="20">
        <f>IF(COUNTA(B59:R59)=0,"",IF((IF(((B59="")+(C59="")+(D59="")+(E59="")+(F59="")+(H59="")+(I59="")+(J59="")+(M59="")+(Q59=""))&gt;0,"• حقول إلزامية ناقصة ","")&amp;IF(AND(D59&lt;&gt;"",COUNTIF($D$6:$D$205,D59)&gt;1),"• اسم المستخدم مكرر ","")&amp;IF(AND(D59&lt;&gt;"",ISNUMBER(SEARCH(" ",D59))),"• اسم المستخدم فيه مسافة ","")&amp;IF(AND(E59&lt;&gt;"",OR(ISERROR(SEARCH("@",E59)),ISERROR(SEARCH(".",E59)))),"• البريد غير صحيح ","")&amp;IF(AND(F59&lt;&gt;"",OR(LEN(F59)&lt;&gt;10,LEFT(F59,2)&lt;&gt;"05",ISERROR(--F59))),"• الجوال ليس بصيغة 05XXXXXXXX ","")&amp;IF(AND(L59&lt;&gt;"",OR(LEN(L59)&lt;2,LEN(L59)&gt;6,ISERROR(--L59),ISNUMBER(SEARCH(".",L59)))),"• التحويلة يجب أن تكون 2-6 أرقام ","")&amp;IF(AND(L59&lt;&gt;"",COUNTIF($L$6:$L$205,L59)&gt;1),"• التحويلة مكررة ","")&amp;IF(AND(M59="نعم",L59=""),"• يجري مكالمات بدون تحويلة ","")&amp;IF(AND(K59&lt;&gt;"",COUNTIF($D$6:$D$205,K59)=0),"• المشرف غير موجود في الجدول ","")&amp;IF(AND(J59="موظف تحصيل",K59=""),"• موظف التحصيل يحتاج مشرفاً ","")&amp;IF(AND(O59&lt;&gt;"",P59=""),"• نوع الهدف بدون قيمة ",""))="","✔ مكتمل",IF(((B59="")+(C59="")+(D59="")+(E59="")+(F59="")+(H59="")+(I59="")+(J59="")+(M59="")+(Q59=""))&gt;0,"• حقول إلزامية ناقصة ","")&amp;IF(AND(D59&lt;&gt;"",COUNTIF($D$6:$D$205,D59)&gt;1),"• اسم المستخدم مكرر ","")&amp;IF(AND(D59&lt;&gt;"",ISNUMBER(SEARCH(" ",D59))),"• اسم المستخدم فيه مسافة ","")&amp;IF(AND(E59&lt;&gt;"",OR(ISERROR(SEARCH("@",E59)),ISERROR(SEARCH(".",E59)))),"• البريد غير صحيح ","")&amp;IF(AND(F59&lt;&gt;"",OR(LEN(F59)&lt;&gt;10,LEFT(F59,2)&lt;&gt;"05",ISERROR(--F59))),"• الجوال ليس بصيغة 05XXXXXXXX ","")&amp;IF(AND(L59&lt;&gt;"",OR(LEN(L59)&lt;2,LEN(L59)&gt;6,ISERROR(--L59),ISNUMBER(SEARCH(".",L59)))),"• التحويلة يجب أن تكون 2-6 أرقام ","")&amp;IF(AND(L59&lt;&gt;"",COUNTIF($L$6:$L$205,L59)&gt;1),"• التحويلة مكررة ","")&amp;IF(AND(M59="نعم",L59=""),"• يجري مكالمات بدون تحويلة ","")&amp;IF(AND(K59&lt;&gt;"",COUNTIF($D$6:$D$205,K59)=0),"• المشرف غير موجود في الجدول ","")&amp;IF(AND(J59="موظف تحصيل",K59=""),"• موظف التحصيل يحتاج مشرفاً ","")&amp;IF(AND(O59&lt;&gt;"",P59=""),"• نوع الهدف بدون قيمة ","")))</f>
        <v/>
      </c>
    </row>
    <row r="60">
      <c r="A60" s="17">
        <f>IF(COUNTA(B60:R60)=0,"",ROW()-5)</f>
        <v/>
      </c>
      <c r="B60" s="18" t="n"/>
      <c r="C60" s="18" t="n"/>
      <c r="D60" s="18" t="n"/>
      <c r="E60" s="18" t="n"/>
      <c r="F60" s="18" t="n"/>
      <c r="G60" s="18" t="n"/>
      <c r="H60" s="10" t="n"/>
      <c r="I60" s="10" t="n"/>
      <c r="J60" s="10" t="n"/>
      <c r="K60" s="10" t="n"/>
      <c r="L60" s="18" t="n"/>
      <c r="M60" s="10" t="n"/>
      <c r="N60" s="18" t="n"/>
      <c r="O60" s="10" t="n"/>
      <c r="P60" s="19" t="n"/>
      <c r="Q60" s="10" t="n"/>
      <c r="R60" s="18" t="n"/>
      <c r="S60" s="20">
        <f>IF(COUNTA(B60:R60)=0,"",IF((IF(((B60="")+(C60="")+(D60="")+(E60="")+(F60="")+(H60="")+(I60="")+(J60="")+(M60="")+(Q60=""))&gt;0,"• حقول إلزامية ناقصة ","")&amp;IF(AND(D60&lt;&gt;"",COUNTIF($D$6:$D$205,D60)&gt;1),"• اسم المستخدم مكرر ","")&amp;IF(AND(D60&lt;&gt;"",ISNUMBER(SEARCH(" ",D60))),"• اسم المستخدم فيه مسافة ","")&amp;IF(AND(E60&lt;&gt;"",OR(ISERROR(SEARCH("@",E60)),ISERROR(SEARCH(".",E60)))),"• البريد غير صحيح ","")&amp;IF(AND(F60&lt;&gt;"",OR(LEN(F60)&lt;&gt;10,LEFT(F60,2)&lt;&gt;"05",ISERROR(--F60))),"• الجوال ليس بصيغة 05XXXXXXXX ","")&amp;IF(AND(L60&lt;&gt;"",OR(LEN(L60)&lt;2,LEN(L60)&gt;6,ISERROR(--L60),ISNUMBER(SEARCH(".",L60)))),"• التحويلة يجب أن تكون 2-6 أرقام ","")&amp;IF(AND(L60&lt;&gt;"",COUNTIF($L$6:$L$205,L60)&gt;1),"• التحويلة مكررة ","")&amp;IF(AND(M60="نعم",L60=""),"• يجري مكالمات بدون تحويلة ","")&amp;IF(AND(K60&lt;&gt;"",COUNTIF($D$6:$D$205,K60)=0),"• المشرف غير موجود في الجدول ","")&amp;IF(AND(J60="موظف تحصيل",K60=""),"• موظف التحصيل يحتاج مشرفاً ","")&amp;IF(AND(O60&lt;&gt;"",P60=""),"• نوع الهدف بدون قيمة ",""))="","✔ مكتمل",IF(((B60="")+(C60="")+(D60="")+(E60="")+(F60="")+(H60="")+(I60="")+(J60="")+(M60="")+(Q60=""))&gt;0,"• حقول إلزامية ناقصة ","")&amp;IF(AND(D60&lt;&gt;"",COUNTIF($D$6:$D$205,D60)&gt;1),"• اسم المستخدم مكرر ","")&amp;IF(AND(D60&lt;&gt;"",ISNUMBER(SEARCH(" ",D60))),"• اسم المستخدم فيه مسافة ","")&amp;IF(AND(E60&lt;&gt;"",OR(ISERROR(SEARCH("@",E60)),ISERROR(SEARCH(".",E60)))),"• البريد غير صحيح ","")&amp;IF(AND(F60&lt;&gt;"",OR(LEN(F60)&lt;&gt;10,LEFT(F60,2)&lt;&gt;"05",ISERROR(--F60))),"• الجوال ليس بصيغة 05XXXXXXXX ","")&amp;IF(AND(L60&lt;&gt;"",OR(LEN(L60)&lt;2,LEN(L60)&gt;6,ISERROR(--L60),ISNUMBER(SEARCH(".",L60)))),"• التحويلة يجب أن تكون 2-6 أرقام ","")&amp;IF(AND(L60&lt;&gt;"",COUNTIF($L$6:$L$205,L60)&gt;1),"• التحويلة مكررة ","")&amp;IF(AND(M60="نعم",L60=""),"• يجري مكالمات بدون تحويلة ","")&amp;IF(AND(K60&lt;&gt;"",COUNTIF($D$6:$D$205,K60)=0),"• المشرف غير موجود في الجدول ","")&amp;IF(AND(J60="موظف تحصيل",K60=""),"• موظف التحصيل يحتاج مشرفاً ","")&amp;IF(AND(O60&lt;&gt;"",P60=""),"• نوع الهدف بدون قيمة ","")))</f>
        <v/>
      </c>
    </row>
    <row r="61">
      <c r="A61" s="17">
        <f>IF(COUNTA(B61:R61)=0,"",ROW()-5)</f>
        <v/>
      </c>
      <c r="B61" s="18" t="n"/>
      <c r="C61" s="18" t="n"/>
      <c r="D61" s="18" t="n"/>
      <c r="E61" s="18" t="n"/>
      <c r="F61" s="18" t="n"/>
      <c r="G61" s="18" t="n"/>
      <c r="H61" s="10" t="n"/>
      <c r="I61" s="10" t="n"/>
      <c r="J61" s="10" t="n"/>
      <c r="K61" s="10" t="n"/>
      <c r="L61" s="18" t="n"/>
      <c r="M61" s="10" t="n"/>
      <c r="N61" s="18" t="n"/>
      <c r="O61" s="10" t="n"/>
      <c r="P61" s="19" t="n"/>
      <c r="Q61" s="10" t="n"/>
      <c r="R61" s="18" t="n"/>
      <c r="S61" s="20">
        <f>IF(COUNTA(B61:R61)=0,"",IF((IF(((B61="")+(C61="")+(D61="")+(E61="")+(F61="")+(H61="")+(I61="")+(J61="")+(M61="")+(Q61=""))&gt;0,"• حقول إلزامية ناقصة ","")&amp;IF(AND(D61&lt;&gt;"",COUNTIF($D$6:$D$205,D61)&gt;1),"• اسم المستخدم مكرر ","")&amp;IF(AND(D61&lt;&gt;"",ISNUMBER(SEARCH(" ",D61))),"• اسم المستخدم فيه مسافة ","")&amp;IF(AND(E61&lt;&gt;"",OR(ISERROR(SEARCH("@",E61)),ISERROR(SEARCH(".",E61)))),"• البريد غير صحيح ","")&amp;IF(AND(F61&lt;&gt;"",OR(LEN(F61)&lt;&gt;10,LEFT(F61,2)&lt;&gt;"05",ISERROR(--F61))),"• الجوال ليس بصيغة 05XXXXXXXX ","")&amp;IF(AND(L61&lt;&gt;"",OR(LEN(L61)&lt;2,LEN(L61)&gt;6,ISERROR(--L61),ISNUMBER(SEARCH(".",L61)))),"• التحويلة يجب أن تكون 2-6 أرقام ","")&amp;IF(AND(L61&lt;&gt;"",COUNTIF($L$6:$L$205,L61)&gt;1),"• التحويلة مكررة ","")&amp;IF(AND(M61="نعم",L61=""),"• يجري مكالمات بدون تحويلة ","")&amp;IF(AND(K61&lt;&gt;"",COUNTIF($D$6:$D$205,K61)=0),"• المشرف غير موجود في الجدول ","")&amp;IF(AND(J61="موظف تحصيل",K61=""),"• موظف التحصيل يحتاج مشرفاً ","")&amp;IF(AND(O61&lt;&gt;"",P61=""),"• نوع الهدف بدون قيمة ",""))="","✔ مكتمل",IF(((B61="")+(C61="")+(D61="")+(E61="")+(F61="")+(H61="")+(I61="")+(J61="")+(M61="")+(Q61=""))&gt;0,"• حقول إلزامية ناقصة ","")&amp;IF(AND(D61&lt;&gt;"",COUNTIF($D$6:$D$205,D61)&gt;1),"• اسم المستخدم مكرر ","")&amp;IF(AND(D61&lt;&gt;"",ISNUMBER(SEARCH(" ",D61))),"• اسم المستخدم فيه مسافة ","")&amp;IF(AND(E61&lt;&gt;"",OR(ISERROR(SEARCH("@",E61)),ISERROR(SEARCH(".",E61)))),"• البريد غير صحيح ","")&amp;IF(AND(F61&lt;&gt;"",OR(LEN(F61)&lt;&gt;10,LEFT(F61,2)&lt;&gt;"05",ISERROR(--F61))),"• الجوال ليس بصيغة 05XXXXXXXX ","")&amp;IF(AND(L61&lt;&gt;"",OR(LEN(L61)&lt;2,LEN(L61)&gt;6,ISERROR(--L61),ISNUMBER(SEARCH(".",L61)))),"• التحويلة يجب أن تكون 2-6 أرقام ","")&amp;IF(AND(L61&lt;&gt;"",COUNTIF($L$6:$L$205,L61)&gt;1),"• التحويلة مكررة ","")&amp;IF(AND(M61="نعم",L61=""),"• يجري مكالمات بدون تحويلة ","")&amp;IF(AND(K61&lt;&gt;"",COUNTIF($D$6:$D$205,K61)=0),"• المشرف غير موجود في الجدول ","")&amp;IF(AND(J61="موظف تحصيل",K61=""),"• موظف التحصيل يحتاج مشرفاً ","")&amp;IF(AND(O61&lt;&gt;"",P61=""),"• نوع الهدف بدون قيمة ","")))</f>
        <v/>
      </c>
    </row>
    <row r="62">
      <c r="A62" s="17">
        <f>IF(COUNTA(B62:R62)=0,"",ROW()-5)</f>
        <v/>
      </c>
      <c r="B62" s="18" t="n"/>
      <c r="C62" s="18" t="n"/>
      <c r="D62" s="18" t="n"/>
      <c r="E62" s="18" t="n"/>
      <c r="F62" s="18" t="n"/>
      <c r="G62" s="18" t="n"/>
      <c r="H62" s="10" t="n"/>
      <c r="I62" s="10" t="n"/>
      <c r="J62" s="10" t="n"/>
      <c r="K62" s="10" t="n"/>
      <c r="L62" s="18" t="n"/>
      <c r="M62" s="10" t="n"/>
      <c r="N62" s="18" t="n"/>
      <c r="O62" s="10" t="n"/>
      <c r="P62" s="19" t="n"/>
      <c r="Q62" s="10" t="n"/>
      <c r="R62" s="18" t="n"/>
      <c r="S62" s="20">
        <f>IF(COUNTA(B62:R62)=0,"",IF((IF(((B62="")+(C62="")+(D62="")+(E62="")+(F62="")+(H62="")+(I62="")+(J62="")+(M62="")+(Q62=""))&gt;0,"• حقول إلزامية ناقصة ","")&amp;IF(AND(D62&lt;&gt;"",COUNTIF($D$6:$D$205,D62)&gt;1),"• اسم المستخدم مكرر ","")&amp;IF(AND(D62&lt;&gt;"",ISNUMBER(SEARCH(" ",D62))),"• اسم المستخدم فيه مسافة ","")&amp;IF(AND(E62&lt;&gt;"",OR(ISERROR(SEARCH("@",E62)),ISERROR(SEARCH(".",E62)))),"• البريد غير صحيح ","")&amp;IF(AND(F62&lt;&gt;"",OR(LEN(F62)&lt;&gt;10,LEFT(F62,2)&lt;&gt;"05",ISERROR(--F62))),"• الجوال ليس بصيغة 05XXXXXXXX ","")&amp;IF(AND(L62&lt;&gt;"",OR(LEN(L62)&lt;2,LEN(L62)&gt;6,ISERROR(--L62),ISNUMBER(SEARCH(".",L62)))),"• التحويلة يجب أن تكون 2-6 أرقام ","")&amp;IF(AND(L62&lt;&gt;"",COUNTIF($L$6:$L$205,L62)&gt;1),"• التحويلة مكررة ","")&amp;IF(AND(M62="نعم",L62=""),"• يجري مكالمات بدون تحويلة ","")&amp;IF(AND(K62&lt;&gt;"",COUNTIF($D$6:$D$205,K62)=0),"• المشرف غير موجود في الجدول ","")&amp;IF(AND(J62="موظف تحصيل",K62=""),"• موظف التحصيل يحتاج مشرفاً ","")&amp;IF(AND(O62&lt;&gt;"",P62=""),"• نوع الهدف بدون قيمة ",""))="","✔ مكتمل",IF(((B62="")+(C62="")+(D62="")+(E62="")+(F62="")+(H62="")+(I62="")+(J62="")+(M62="")+(Q62=""))&gt;0,"• حقول إلزامية ناقصة ","")&amp;IF(AND(D62&lt;&gt;"",COUNTIF($D$6:$D$205,D62)&gt;1),"• اسم المستخدم مكرر ","")&amp;IF(AND(D62&lt;&gt;"",ISNUMBER(SEARCH(" ",D62))),"• اسم المستخدم فيه مسافة ","")&amp;IF(AND(E62&lt;&gt;"",OR(ISERROR(SEARCH("@",E62)),ISERROR(SEARCH(".",E62)))),"• البريد غير صحيح ","")&amp;IF(AND(F62&lt;&gt;"",OR(LEN(F62)&lt;&gt;10,LEFT(F62,2)&lt;&gt;"05",ISERROR(--F62))),"• الجوال ليس بصيغة 05XXXXXXXX ","")&amp;IF(AND(L62&lt;&gt;"",OR(LEN(L62)&lt;2,LEN(L62)&gt;6,ISERROR(--L62),ISNUMBER(SEARCH(".",L62)))),"• التحويلة يجب أن تكون 2-6 أرقام ","")&amp;IF(AND(L62&lt;&gt;"",COUNTIF($L$6:$L$205,L62)&gt;1),"• التحويلة مكررة ","")&amp;IF(AND(M62="نعم",L62=""),"• يجري مكالمات بدون تحويلة ","")&amp;IF(AND(K62&lt;&gt;"",COUNTIF($D$6:$D$205,K62)=0),"• المشرف غير موجود في الجدول ","")&amp;IF(AND(J62="موظف تحصيل",K62=""),"• موظف التحصيل يحتاج مشرفاً ","")&amp;IF(AND(O62&lt;&gt;"",P62=""),"• نوع الهدف بدون قيمة ","")))</f>
        <v/>
      </c>
    </row>
    <row r="63">
      <c r="A63" s="17">
        <f>IF(COUNTA(B63:R63)=0,"",ROW()-5)</f>
        <v/>
      </c>
      <c r="B63" s="18" t="n"/>
      <c r="C63" s="18" t="n"/>
      <c r="D63" s="18" t="n"/>
      <c r="E63" s="18" t="n"/>
      <c r="F63" s="18" t="n"/>
      <c r="G63" s="18" t="n"/>
      <c r="H63" s="10" t="n"/>
      <c r="I63" s="10" t="n"/>
      <c r="J63" s="10" t="n"/>
      <c r="K63" s="10" t="n"/>
      <c r="L63" s="18" t="n"/>
      <c r="M63" s="10" t="n"/>
      <c r="N63" s="18" t="n"/>
      <c r="O63" s="10" t="n"/>
      <c r="P63" s="19" t="n"/>
      <c r="Q63" s="10" t="n"/>
      <c r="R63" s="18" t="n"/>
      <c r="S63" s="20">
        <f>IF(COUNTA(B63:R63)=0,"",IF((IF(((B63="")+(C63="")+(D63="")+(E63="")+(F63="")+(H63="")+(I63="")+(J63="")+(M63="")+(Q63=""))&gt;0,"• حقول إلزامية ناقصة ","")&amp;IF(AND(D63&lt;&gt;"",COUNTIF($D$6:$D$205,D63)&gt;1),"• اسم المستخدم مكرر ","")&amp;IF(AND(D63&lt;&gt;"",ISNUMBER(SEARCH(" ",D63))),"• اسم المستخدم فيه مسافة ","")&amp;IF(AND(E63&lt;&gt;"",OR(ISERROR(SEARCH("@",E63)),ISERROR(SEARCH(".",E63)))),"• البريد غير صحيح ","")&amp;IF(AND(F63&lt;&gt;"",OR(LEN(F63)&lt;&gt;10,LEFT(F63,2)&lt;&gt;"05",ISERROR(--F63))),"• الجوال ليس بصيغة 05XXXXXXXX ","")&amp;IF(AND(L63&lt;&gt;"",OR(LEN(L63)&lt;2,LEN(L63)&gt;6,ISERROR(--L63),ISNUMBER(SEARCH(".",L63)))),"• التحويلة يجب أن تكون 2-6 أرقام ","")&amp;IF(AND(L63&lt;&gt;"",COUNTIF($L$6:$L$205,L63)&gt;1),"• التحويلة مكررة ","")&amp;IF(AND(M63="نعم",L63=""),"• يجري مكالمات بدون تحويلة ","")&amp;IF(AND(K63&lt;&gt;"",COUNTIF($D$6:$D$205,K63)=0),"• المشرف غير موجود في الجدول ","")&amp;IF(AND(J63="موظف تحصيل",K63=""),"• موظف التحصيل يحتاج مشرفاً ","")&amp;IF(AND(O63&lt;&gt;"",P63=""),"• نوع الهدف بدون قيمة ",""))="","✔ مكتمل",IF(((B63="")+(C63="")+(D63="")+(E63="")+(F63="")+(H63="")+(I63="")+(J63="")+(M63="")+(Q63=""))&gt;0,"• حقول إلزامية ناقصة ","")&amp;IF(AND(D63&lt;&gt;"",COUNTIF($D$6:$D$205,D63)&gt;1),"• اسم المستخدم مكرر ","")&amp;IF(AND(D63&lt;&gt;"",ISNUMBER(SEARCH(" ",D63))),"• اسم المستخدم فيه مسافة ","")&amp;IF(AND(E63&lt;&gt;"",OR(ISERROR(SEARCH("@",E63)),ISERROR(SEARCH(".",E63)))),"• البريد غير صحيح ","")&amp;IF(AND(F63&lt;&gt;"",OR(LEN(F63)&lt;&gt;10,LEFT(F63,2)&lt;&gt;"05",ISERROR(--F63))),"• الجوال ليس بصيغة 05XXXXXXXX ","")&amp;IF(AND(L63&lt;&gt;"",OR(LEN(L63)&lt;2,LEN(L63)&gt;6,ISERROR(--L63),ISNUMBER(SEARCH(".",L63)))),"• التحويلة يجب أن تكون 2-6 أرقام ","")&amp;IF(AND(L63&lt;&gt;"",COUNTIF($L$6:$L$205,L63)&gt;1),"• التحويلة مكررة ","")&amp;IF(AND(M63="نعم",L63=""),"• يجري مكالمات بدون تحويلة ","")&amp;IF(AND(K63&lt;&gt;"",COUNTIF($D$6:$D$205,K63)=0),"• المشرف غير موجود في الجدول ","")&amp;IF(AND(J63="موظف تحصيل",K63=""),"• موظف التحصيل يحتاج مشرفاً ","")&amp;IF(AND(O63&lt;&gt;"",P63=""),"• نوع الهدف بدون قيمة ","")))</f>
        <v/>
      </c>
    </row>
    <row r="64">
      <c r="A64" s="17">
        <f>IF(COUNTA(B64:R64)=0,"",ROW()-5)</f>
        <v/>
      </c>
      <c r="B64" s="18" t="n"/>
      <c r="C64" s="18" t="n"/>
      <c r="D64" s="18" t="n"/>
      <c r="E64" s="18" t="n"/>
      <c r="F64" s="18" t="n"/>
      <c r="G64" s="18" t="n"/>
      <c r="H64" s="10" t="n"/>
      <c r="I64" s="10" t="n"/>
      <c r="J64" s="10" t="n"/>
      <c r="K64" s="10" t="n"/>
      <c r="L64" s="18" t="n"/>
      <c r="M64" s="10" t="n"/>
      <c r="N64" s="18" t="n"/>
      <c r="O64" s="10" t="n"/>
      <c r="P64" s="19" t="n"/>
      <c r="Q64" s="10" t="n"/>
      <c r="R64" s="18" t="n"/>
      <c r="S64" s="20">
        <f>IF(COUNTA(B64:R64)=0,"",IF((IF(((B64="")+(C64="")+(D64="")+(E64="")+(F64="")+(H64="")+(I64="")+(J64="")+(M64="")+(Q64=""))&gt;0,"• حقول إلزامية ناقصة ","")&amp;IF(AND(D64&lt;&gt;"",COUNTIF($D$6:$D$205,D64)&gt;1),"• اسم المستخدم مكرر ","")&amp;IF(AND(D64&lt;&gt;"",ISNUMBER(SEARCH(" ",D64))),"• اسم المستخدم فيه مسافة ","")&amp;IF(AND(E64&lt;&gt;"",OR(ISERROR(SEARCH("@",E64)),ISERROR(SEARCH(".",E64)))),"• البريد غير صحيح ","")&amp;IF(AND(F64&lt;&gt;"",OR(LEN(F64)&lt;&gt;10,LEFT(F64,2)&lt;&gt;"05",ISERROR(--F64))),"• الجوال ليس بصيغة 05XXXXXXXX ","")&amp;IF(AND(L64&lt;&gt;"",OR(LEN(L64)&lt;2,LEN(L64)&gt;6,ISERROR(--L64),ISNUMBER(SEARCH(".",L64)))),"• التحويلة يجب أن تكون 2-6 أرقام ","")&amp;IF(AND(L64&lt;&gt;"",COUNTIF($L$6:$L$205,L64)&gt;1),"• التحويلة مكررة ","")&amp;IF(AND(M64="نعم",L64=""),"• يجري مكالمات بدون تحويلة ","")&amp;IF(AND(K64&lt;&gt;"",COUNTIF($D$6:$D$205,K64)=0),"• المشرف غير موجود في الجدول ","")&amp;IF(AND(J64="موظف تحصيل",K64=""),"• موظف التحصيل يحتاج مشرفاً ","")&amp;IF(AND(O64&lt;&gt;"",P64=""),"• نوع الهدف بدون قيمة ",""))="","✔ مكتمل",IF(((B64="")+(C64="")+(D64="")+(E64="")+(F64="")+(H64="")+(I64="")+(J64="")+(M64="")+(Q64=""))&gt;0,"• حقول إلزامية ناقصة ","")&amp;IF(AND(D64&lt;&gt;"",COUNTIF($D$6:$D$205,D64)&gt;1),"• اسم المستخدم مكرر ","")&amp;IF(AND(D64&lt;&gt;"",ISNUMBER(SEARCH(" ",D64))),"• اسم المستخدم فيه مسافة ","")&amp;IF(AND(E64&lt;&gt;"",OR(ISERROR(SEARCH("@",E64)),ISERROR(SEARCH(".",E64)))),"• البريد غير صحيح ","")&amp;IF(AND(F64&lt;&gt;"",OR(LEN(F64)&lt;&gt;10,LEFT(F64,2)&lt;&gt;"05",ISERROR(--F64))),"• الجوال ليس بصيغة 05XXXXXXXX ","")&amp;IF(AND(L64&lt;&gt;"",OR(LEN(L64)&lt;2,LEN(L64)&gt;6,ISERROR(--L64),ISNUMBER(SEARCH(".",L64)))),"• التحويلة يجب أن تكون 2-6 أرقام ","")&amp;IF(AND(L64&lt;&gt;"",COUNTIF($L$6:$L$205,L64)&gt;1),"• التحويلة مكررة ","")&amp;IF(AND(M64="نعم",L64=""),"• يجري مكالمات بدون تحويلة ","")&amp;IF(AND(K64&lt;&gt;"",COUNTIF($D$6:$D$205,K64)=0),"• المشرف غير موجود في الجدول ","")&amp;IF(AND(J64="موظف تحصيل",K64=""),"• موظف التحصيل يحتاج مشرفاً ","")&amp;IF(AND(O64&lt;&gt;"",P64=""),"• نوع الهدف بدون قيمة ","")))</f>
        <v/>
      </c>
    </row>
    <row r="65">
      <c r="A65" s="17">
        <f>IF(COUNTA(B65:R65)=0,"",ROW()-5)</f>
        <v/>
      </c>
      <c r="B65" s="18" t="n"/>
      <c r="C65" s="18" t="n"/>
      <c r="D65" s="18" t="n"/>
      <c r="E65" s="18" t="n"/>
      <c r="F65" s="18" t="n"/>
      <c r="G65" s="18" t="n"/>
      <c r="H65" s="10" t="n"/>
      <c r="I65" s="10" t="n"/>
      <c r="J65" s="10" t="n"/>
      <c r="K65" s="10" t="n"/>
      <c r="L65" s="18" t="n"/>
      <c r="M65" s="10" t="n"/>
      <c r="N65" s="18" t="n"/>
      <c r="O65" s="10" t="n"/>
      <c r="P65" s="19" t="n"/>
      <c r="Q65" s="10" t="n"/>
      <c r="R65" s="18" t="n"/>
      <c r="S65" s="20">
        <f>IF(COUNTA(B65:R65)=0,"",IF((IF(((B65="")+(C65="")+(D65="")+(E65="")+(F65="")+(H65="")+(I65="")+(J65="")+(M65="")+(Q65=""))&gt;0,"• حقول إلزامية ناقصة ","")&amp;IF(AND(D65&lt;&gt;"",COUNTIF($D$6:$D$205,D65)&gt;1),"• اسم المستخدم مكرر ","")&amp;IF(AND(D65&lt;&gt;"",ISNUMBER(SEARCH(" ",D65))),"• اسم المستخدم فيه مسافة ","")&amp;IF(AND(E65&lt;&gt;"",OR(ISERROR(SEARCH("@",E65)),ISERROR(SEARCH(".",E65)))),"• البريد غير صحيح ","")&amp;IF(AND(F65&lt;&gt;"",OR(LEN(F65)&lt;&gt;10,LEFT(F65,2)&lt;&gt;"05",ISERROR(--F65))),"• الجوال ليس بصيغة 05XXXXXXXX ","")&amp;IF(AND(L65&lt;&gt;"",OR(LEN(L65)&lt;2,LEN(L65)&gt;6,ISERROR(--L65),ISNUMBER(SEARCH(".",L65)))),"• التحويلة يجب أن تكون 2-6 أرقام ","")&amp;IF(AND(L65&lt;&gt;"",COUNTIF($L$6:$L$205,L65)&gt;1),"• التحويلة مكررة ","")&amp;IF(AND(M65="نعم",L65=""),"• يجري مكالمات بدون تحويلة ","")&amp;IF(AND(K65&lt;&gt;"",COUNTIF($D$6:$D$205,K65)=0),"• المشرف غير موجود في الجدول ","")&amp;IF(AND(J65="موظف تحصيل",K65=""),"• موظف التحصيل يحتاج مشرفاً ","")&amp;IF(AND(O65&lt;&gt;"",P65=""),"• نوع الهدف بدون قيمة ",""))="","✔ مكتمل",IF(((B65="")+(C65="")+(D65="")+(E65="")+(F65="")+(H65="")+(I65="")+(J65="")+(M65="")+(Q65=""))&gt;0,"• حقول إلزامية ناقصة ","")&amp;IF(AND(D65&lt;&gt;"",COUNTIF($D$6:$D$205,D65)&gt;1),"• اسم المستخدم مكرر ","")&amp;IF(AND(D65&lt;&gt;"",ISNUMBER(SEARCH(" ",D65))),"• اسم المستخدم فيه مسافة ","")&amp;IF(AND(E65&lt;&gt;"",OR(ISERROR(SEARCH("@",E65)),ISERROR(SEARCH(".",E65)))),"• البريد غير صحيح ","")&amp;IF(AND(F65&lt;&gt;"",OR(LEN(F65)&lt;&gt;10,LEFT(F65,2)&lt;&gt;"05",ISERROR(--F65))),"• الجوال ليس بصيغة 05XXXXXXXX ","")&amp;IF(AND(L65&lt;&gt;"",OR(LEN(L65)&lt;2,LEN(L65)&gt;6,ISERROR(--L65),ISNUMBER(SEARCH(".",L65)))),"• التحويلة يجب أن تكون 2-6 أرقام ","")&amp;IF(AND(L65&lt;&gt;"",COUNTIF($L$6:$L$205,L65)&gt;1),"• التحويلة مكررة ","")&amp;IF(AND(M65="نعم",L65=""),"• يجري مكالمات بدون تحويلة ","")&amp;IF(AND(K65&lt;&gt;"",COUNTIF($D$6:$D$205,K65)=0),"• المشرف غير موجود في الجدول ","")&amp;IF(AND(J65="موظف تحصيل",K65=""),"• موظف التحصيل يحتاج مشرفاً ","")&amp;IF(AND(O65&lt;&gt;"",P65=""),"• نوع الهدف بدون قيمة ","")))</f>
        <v/>
      </c>
    </row>
    <row r="66">
      <c r="A66" s="17">
        <f>IF(COUNTA(B66:R66)=0,"",ROW()-5)</f>
        <v/>
      </c>
      <c r="B66" s="18" t="n"/>
      <c r="C66" s="18" t="n"/>
      <c r="D66" s="18" t="n"/>
      <c r="E66" s="18" t="n"/>
      <c r="F66" s="18" t="n"/>
      <c r="G66" s="18" t="n"/>
      <c r="H66" s="10" t="n"/>
      <c r="I66" s="10" t="n"/>
      <c r="J66" s="10" t="n"/>
      <c r="K66" s="10" t="n"/>
      <c r="L66" s="18" t="n"/>
      <c r="M66" s="10" t="n"/>
      <c r="N66" s="18" t="n"/>
      <c r="O66" s="10" t="n"/>
      <c r="P66" s="19" t="n"/>
      <c r="Q66" s="10" t="n"/>
      <c r="R66" s="18" t="n"/>
      <c r="S66" s="20">
        <f>IF(COUNTA(B66:R66)=0,"",IF((IF(((B66="")+(C66="")+(D66="")+(E66="")+(F66="")+(H66="")+(I66="")+(J66="")+(M66="")+(Q66=""))&gt;0,"• حقول إلزامية ناقصة ","")&amp;IF(AND(D66&lt;&gt;"",COUNTIF($D$6:$D$205,D66)&gt;1),"• اسم المستخدم مكرر ","")&amp;IF(AND(D66&lt;&gt;"",ISNUMBER(SEARCH(" ",D66))),"• اسم المستخدم فيه مسافة ","")&amp;IF(AND(E66&lt;&gt;"",OR(ISERROR(SEARCH("@",E66)),ISERROR(SEARCH(".",E66)))),"• البريد غير صحيح ","")&amp;IF(AND(F66&lt;&gt;"",OR(LEN(F66)&lt;&gt;10,LEFT(F66,2)&lt;&gt;"05",ISERROR(--F66))),"• الجوال ليس بصيغة 05XXXXXXXX ","")&amp;IF(AND(L66&lt;&gt;"",OR(LEN(L66)&lt;2,LEN(L66)&gt;6,ISERROR(--L66),ISNUMBER(SEARCH(".",L66)))),"• التحويلة يجب أن تكون 2-6 أرقام ","")&amp;IF(AND(L66&lt;&gt;"",COUNTIF($L$6:$L$205,L66)&gt;1),"• التحويلة مكررة ","")&amp;IF(AND(M66="نعم",L66=""),"• يجري مكالمات بدون تحويلة ","")&amp;IF(AND(K66&lt;&gt;"",COUNTIF($D$6:$D$205,K66)=0),"• المشرف غير موجود في الجدول ","")&amp;IF(AND(J66="موظف تحصيل",K66=""),"• موظف التحصيل يحتاج مشرفاً ","")&amp;IF(AND(O66&lt;&gt;"",P66=""),"• نوع الهدف بدون قيمة ",""))="","✔ مكتمل",IF(((B66="")+(C66="")+(D66="")+(E66="")+(F66="")+(H66="")+(I66="")+(J66="")+(M66="")+(Q66=""))&gt;0,"• حقول إلزامية ناقصة ","")&amp;IF(AND(D66&lt;&gt;"",COUNTIF($D$6:$D$205,D66)&gt;1),"• اسم المستخدم مكرر ","")&amp;IF(AND(D66&lt;&gt;"",ISNUMBER(SEARCH(" ",D66))),"• اسم المستخدم فيه مسافة ","")&amp;IF(AND(E66&lt;&gt;"",OR(ISERROR(SEARCH("@",E66)),ISERROR(SEARCH(".",E66)))),"• البريد غير صحيح ","")&amp;IF(AND(F66&lt;&gt;"",OR(LEN(F66)&lt;&gt;10,LEFT(F66,2)&lt;&gt;"05",ISERROR(--F66))),"• الجوال ليس بصيغة 05XXXXXXXX ","")&amp;IF(AND(L66&lt;&gt;"",OR(LEN(L66)&lt;2,LEN(L66)&gt;6,ISERROR(--L66),ISNUMBER(SEARCH(".",L66)))),"• التحويلة يجب أن تكون 2-6 أرقام ","")&amp;IF(AND(L66&lt;&gt;"",COUNTIF($L$6:$L$205,L66)&gt;1),"• التحويلة مكررة ","")&amp;IF(AND(M66="نعم",L66=""),"• يجري مكالمات بدون تحويلة ","")&amp;IF(AND(K66&lt;&gt;"",COUNTIF($D$6:$D$205,K66)=0),"• المشرف غير موجود في الجدول ","")&amp;IF(AND(J66="موظف تحصيل",K66=""),"• موظف التحصيل يحتاج مشرفاً ","")&amp;IF(AND(O66&lt;&gt;"",P66=""),"• نوع الهدف بدون قيمة ","")))</f>
        <v/>
      </c>
    </row>
    <row r="67">
      <c r="A67" s="17">
        <f>IF(COUNTA(B67:R67)=0,"",ROW()-5)</f>
        <v/>
      </c>
      <c r="B67" s="18" t="n"/>
      <c r="C67" s="18" t="n"/>
      <c r="D67" s="18" t="n"/>
      <c r="E67" s="18" t="n"/>
      <c r="F67" s="18" t="n"/>
      <c r="G67" s="18" t="n"/>
      <c r="H67" s="10" t="n"/>
      <c r="I67" s="10" t="n"/>
      <c r="J67" s="10" t="n"/>
      <c r="K67" s="10" t="n"/>
      <c r="L67" s="18" t="n"/>
      <c r="M67" s="10" t="n"/>
      <c r="N67" s="18" t="n"/>
      <c r="O67" s="10" t="n"/>
      <c r="P67" s="19" t="n"/>
      <c r="Q67" s="10" t="n"/>
      <c r="R67" s="18" t="n"/>
      <c r="S67" s="20">
        <f>IF(COUNTA(B67:R67)=0,"",IF((IF(((B67="")+(C67="")+(D67="")+(E67="")+(F67="")+(H67="")+(I67="")+(J67="")+(M67="")+(Q67=""))&gt;0,"• حقول إلزامية ناقصة ","")&amp;IF(AND(D67&lt;&gt;"",COUNTIF($D$6:$D$205,D67)&gt;1),"• اسم المستخدم مكرر ","")&amp;IF(AND(D67&lt;&gt;"",ISNUMBER(SEARCH(" ",D67))),"• اسم المستخدم فيه مسافة ","")&amp;IF(AND(E67&lt;&gt;"",OR(ISERROR(SEARCH("@",E67)),ISERROR(SEARCH(".",E67)))),"• البريد غير صحيح ","")&amp;IF(AND(F67&lt;&gt;"",OR(LEN(F67)&lt;&gt;10,LEFT(F67,2)&lt;&gt;"05",ISERROR(--F67))),"• الجوال ليس بصيغة 05XXXXXXXX ","")&amp;IF(AND(L67&lt;&gt;"",OR(LEN(L67)&lt;2,LEN(L67)&gt;6,ISERROR(--L67),ISNUMBER(SEARCH(".",L67)))),"• التحويلة يجب أن تكون 2-6 أرقام ","")&amp;IF(AND(L67&lt;&gt;"",COUNTIF($L$6:$L$205,L67)&gt;1),"• التحويلة مكررة ","")&amp;IF(AND(M67="نعم",L67=""),"• يجري مكالمات بدون تحويلة ","")&amp;IF(AND(K67&lt;&gt;"",COUNTIF($D$6:$D$205,K67)=0),"• المشرف غير موجود في الجدول ","")&amp;IF(AND(J67="موظف تحصيل",K67=""),"• موظف التحصيل يحتاج مشرفاً ","")&amp;IF(AND(O67&lt;&gt;"",P67=""),"• نوع الهدف بدون قيمة ",""))="","✔ مكتمل",IF(((B67="")+(C67="")+(D67="")+(E67="")+(F67="")+(H67="")+(I67="")+(J67="")+(M67="")+(Q67=""))&gt;0,"• حقول إلزامية ناقصة ","")&amp;IF(AND(D67&lt;&gt;"",COUNTIF($D$6:$D$205,D67)&gt;1),"• اسم المستخدم مكرر ","")&amp;IF(AND(D67&lt;&gt;"",ISNUMBER(SEARCH(" ",D67))),"• اسم المستخدم فيه مسافة ","")&amp;IF(AND(E67&lt;&gt;"",OR(ISERROR(SEARCH("@",E67)),ISERROR(SEARCH(".",E67)))),"• البريد غير صحيح ","")&amp;IF(AND(F67&lt;&gt;"",OR(LEN(F67)&lt;&gt;10,LEFT(F67,2)&lt;&gt;"05",ISERROR(--F67))),"• الجوال ليس بصيغة 05XXXXXXXX ","")&amp;IF(AND(L67&lt;&gt;"",OR(LEN(L67)&lt;2,LEN(L67)&gt;6,ISERROR(--L67),ISNUMBER(SEARCH(".",L67)))),"• التحويلة يجب أن تكون 2-6 أرقام ","")&amp;IF(AND(L67&lt;&gt;"",COUNTIF($L$6:$L$205,L67)&gt;1),"• التحويلة مكررة ","")&amp;IF(AND(M67="نعم",L67=""),"• يجري مكالمات بدون تحويلة ","")&amp;IF(AND(K67&lt;&gt;"",COUNTIF($D$6:$D$205,K67)=0),"• المشرف غير موجود في الجدول ","")&amp;IF(AND(J67="موظف تحصيل",K67=""),"• موظف التحصيل يحتاج مشرفاً ","")&amp;IF(AND(O67&lt;&gt;"",P67=""),"• نوع الهدف بدون قيمة ","")))</f>
        <v/>
      </c>
    </row>
    <row r="68">
      <c r="A68" s="17">
        <f>IF(COUNTA(B68:R68)=0,"",ROW()-5)</f>
        <v/>
      </c>
      <c r="B68" s="18" t="n"/>
      <c r="C68" s="18" t="n"/>
      <c r="D68" s="18" t="n"/>
      <c r="E68" s="18" t="n"/>
      <c r="F68" s="18" t="n"/>
      <c r="G68" s="18" t="n"/>
      <c r="H68" s="10" t="n"/>
      <c r="I68" s="10" t="n"/>
      <c r="J68" s="10" t="n"/>
      <c r="K68" s="10" t="n"/>
      <c r="L68" s="18" t="n"/>
      <c r="M68" s="10" t="n"/>
      <c r="N68" s="18" t="n"/>
      <c r="O68" s="10" t="n"/>
      <c r="P68" s="19" t="n"/>
      <c r="Q68" s="10" t="n"/>
      <c r="R68" s="18" t="n"/>
      <c r="S68" s="20">
        <f>IF(COUNTA(B68:R68)=0,"",IF((IF(((B68="")+(C68="")+(D68="")+(E68="")+(F68="")+(H68="")+(I68="")+(J68="")+(M68="")+(Q68=""))&gt;0,"• حقول إلزامية ناقصة ","")&amp;IF(AND(D68&lt;&gt;"",COUNTIF($D$6:$D$205,D68)&gt;1),"• اسم المستخدم مكرر ","")&amp;IF(AND(D68&lt;&gt;"",ISNUMBER(SEARCH(" ",D68))),"• اسم المستخدم فيه مسافة ","")&amp;IF(AND(E68&lt;&gt;"",OR(ISERROR(SEARCH("@",E68)),ISERROR(SEARCH(".",E68)))),"• البريد غير صحيح ","")&amp;IF(AND(F68&lt;&gt;"",OR(LEN(F68)&lt;&gt;10,LEFT(F68,2)&lt;&gt;"05",ISERROR(--F68))),"• الجوال ليس بصيغة 05XXXXXXXX ","")&amp;IF(AND(L68&lt;&gt;"",OR(LEN(L68)&lt;2,LEN(L68)&gt;6,ISERROR(--L68),ISNUMBER(SEARCH(".",L68)))),"• التحويلة يجب أن تكون 2-6 أرقام ","")&amp;IF(AND(L68&lt;&gt;"",COUNTIF($L$6:$L$205,L68)&gt;1),"• التحويلة مكررة ","")&amp;IF(AND(M68="نعم",L68=""),"• يجري مكالمات بدون تحويلة ","")&amp;IF(AND(K68&lt;&gt;"",COUNTIF($D$6:$D$205,K68)=0),"• المشرف غير موجود في الجدول ","")&amp;IF(AND(J68="موظف تحصيل",K68=""),"• موظف التحصيل يحتاج مشرفاً ","")&amp;IF(AND(O68&lt;&gt;"",P68=""),"• نوع الهدف بدون قيمة ",""))="","✔ مكتمل",IF(((B68="")+(C68="")+(D68="")+(E68="")+(F68="")+(H68="")+(I68="")+(J68="")+(M68="")+(Q68=""))&gt;0,"• حقول إلزامية ناقصة ","")&amp;IF(AND(D68&lt;&gt;"",COUNTIF($D$6:$D$205,D68)&gt;1),"• اسم المستخدم مكرر ","")&amp;IF(AND(D68&lt;&gt;"",ISNUMBER(SEARCH(" ",D68))),"• اسم المستخدم فيه مسافة ","")&amp;IF(AND(E68&lt;&gt;"",OR(ISERROR(SEARCH("@",E68)),ISERROR(SEARCH(".",E68)))),"• البريد غير صحيح ","")&amp;IF(AND(F68&lt;&gt;"",OR(LEN(F68)&lt;&gt;10,LEFT(F68,2)&lt;&gt;"05",ISERROR(--F68))),"• الجوال ليس بصيغة 05XXXXXXXX ","")&amp;IF(AND(L68&lt;&gt;"",OR(LEN(L68)&lt;2,LEN(L68)&gt;6,ISERROR(--L68),ISNUMBER(SEARCH(".",L68)))),"• التحويلة يجب أن تكون 2-6 أرقام ","")&amp;IF(AND(L68&lt;&gt;"",COUNTIF($L$6:$L$205,L68)&gt;1),"• التحويلة مكررة ","")&amp;IF(AND(M68="نعم",L68=""),"• يجري مكالمات بدون تحويلة ","")&amp;IF(AND(K68&lt;&gt;"",COUNTIF($D$6:$D$205,K68)=0),"• المشرف غير موجود في الجدول ","")&amp;IF(AND(J68="موظف تحصيل",K68=""),"• موظف التحصيل يحتاج مشرفاً ","")&amp;IF(AND(O68&lt;&gt;"",P68=""),"• نوع الهدف بدون قيمة ","")))</f>
        <v/>
      </c>
    </row>
    <row r="69">
      <c r="A69" s="17">
        <f>IF(COUNTA(B69:R69)=0,"",ROW()-5)</f>
        <v/>
      </c>
      <c r="B69" s="18" t="n"/>
      <c r="C69" s="18" t="n"/>
      <c r="D69" s="18" t="n"/>
      <c r="E69" s="18" t="n"/>
      <c r="F69" s="18" t="n"/>
      <c r="G69" s="18" t="n"/>
      <c r="H69" s="10" t="n"/>
      <c r="I69" s="10" t="n"/>
      <c r="J69" s="10" t="n"/>
      <c r="K69" s="10" t="n"/>
      <c r="L69" s="18" t="n"/>
      <c r="M69" s="10" t="n"/>
      <c r="N69" s="18" t="n"/>
      <c r="O69" s="10" t="n"/>
      <c r="P69" s="19" t="n"/>
      <c r="Q69" s="10" t="n"/>
      <c r="R69" s="18" t="n"/>
      <c r="S69" s="20">
        <f>IF(COUNTA(B69:R69)=0,"",IF((IF(((B69="")+(C69="")+(D69="")+(E69="")+(F69="")+(H69="")+(I69="")+(J69="")+(M69="")+(Q69=""))&gt;0,"• حقول إلزامية ناقصة ","")&amp;IF(AND(D69&lt;&gt;"",COUNTIF($D$6:$D$205,D69)&gt;1),"• اسم المستخدم مكرر ","")&amp;IF(AND(D69&lt;&gt;"",ISNUMBER(SEARCH(" ",D69))),"• اسم المستخدم فيه مسافة ","")&amp;IF(AND(E69&lt;&gt;"",OR(ISERROR(SEARCH("@",E69)),ISERROR(SEARCH(".",E69)))),"• البريد غير صحيح ","")&amp;IF(AND(F69&lt;&gt;"",OR(LEN(F69)&lt;&gt;10,LEFT(F69,2)&lt;&gt;"05",ISERROR(--F69))),"• الجوال ليس بصيغة 05XXXXXXXX ","")&amp;IF(AND(L69&lt;&gt;"",OR(LEN(L69)&lt;2,LEN(L69)&gt;6,ISERROR(--L69),ISNUMBER(SEARCH(".",L69)))),"• التحويلة يجب أن تكون 2-6 أرقام ","")&amp;IF(AND(L69&lt;&gt;"",COUNTIF($L$6:$L$205,L69)&gt;1),"• التحويلة مكررة ","")&amp;IF(AND(M69="نعم",L69=""),"• يجري مكالمات بدون تحويلة ","")&amp;IF(AND(K69&lt;&gt;"",COUNTIF($D$6:$D$205,K69)=0),"• المشرف غير موجود في الجدول ","")&amp;IF(AND(J69="موظف تحصيل",K69=""),"• موظف التحصيل يحتاج مشرفاً ","")&amp;IF(AND(O69&lt;&gt;"",P69=""),"• نوع الهدف بدون قيمة ",""))="","✔ مكتمل",IF(((B69="")+(C69="")+(D69="")+(E69="")+(F69="")+(H69="")+(I69="")+(J69="")+(M69="")+(Q69=""))&gt;0,"• حقول إلزامية ناقصة ","")&amp;IF(AND(D69&lt;&gt;"",COUNTIF($D$6:$D$205,D69)&gt;1),"• اسم المستخدم مكرر ","")&amp;IF(AND(D69&lt;&gt;"",ISNUMBER(SEARCH(" ",D69))),"• اسم المستخدم فيه مسافة ","")&amp;IF(AND(E69&lt;&gt;"",OR(ISERROR(SEARCH("@",E69)),ISERROR(SEARCH(".",E69)))),"• البريد غير صحيح ","")&amp;IF(AND(F69&lt;&gt;"",OR(LEN(F69)&lt;&gt;10,LEFT(F69,2)&lt;&gt;"05",ISERROR(--F69))),"• الجوال ليس بصيغة 05XXXXXXXX ","")&amp;IF(AND(L69&lt;&gt;"",OR(LEN(L69)&lt;2,LEN(L69)&gt;6,ISERROR(--L69),ISNUMBER(SEARCH(".",L69)))),"• التحويلة يجب أن تكون 2-6 أرقام ","")&amp;IF(AND(L69&lt;&gt;"",COUNTIF($L$6:$L$205,L69)&gt;1),"• التحويلة مكررة ","")&amp;IF(AND(M69="نعم",L69=""),"• يجري مكالمات بدون تحويلة ","")&amp;IF(AND(K69&lt;&gt;"",COUNTIF($D$6:$D$205,K69)=0),"• المشرف غير موجود في الجدول ","")&amp;IF(AND(J69="موظف تحصيل",K69=""),"• موظف التحصيل يحتاج مشرفاً ","")&amp;IF(AND(O69&lt;&gt;"",P69=""),"• نوع الهدف بدون قيمة ","")))</f>
        <v/>
      </c>
    </row>
    <row r="70">
      <c r="A70" s="17">
        <f>IF(COUNTA(B70:R70)=0,"",ROW()-5)</f>
        <v/>
      </c>
      <c r="B70" s="18" t="n"/>
      <c r="C70" s="18" t="n"/>
      <c r="D70" s="18" t="n"/>
      <c r="E70" s="18" t="n"/>
      <c r="F70" s="18" t="n"/>
      <c r="G70" s="18" t="n"/>
      <c r="H70" s="10" t="n"/>
      <c r="I70" s="10" t="n"/>
      <c r="J70" s="10" t="n"/>
      <c r="K70" s="10" t="n"/>
      <c r="L70" s="18" t="n"/>
      <c r="M70" s="10" t="n"/>
      <c r="N70" s="18" t="n"/>
      <c r="O70" s="10" t="n"/>
      <c r="P70" s="19" t="n"/>
      <c r="Q70" s="10" t="n"/>
      <c r="R70" s="18" t="n"/>
      <c r="S70" s="20">
        <f>IF(COUNTA(B70:R70)=0,"",IF((IF(((B70="")+(C70="")+(D70="")+(E70="")+(F70="")+(H70="")+(I70="")+(J70="")+(M70="")+(Q70=""))&gt;0,"• حقول إلزامية ناقصة ","")&amp;IF(AND(D70&lt;&gt;"",COUNTIF($D$6:$D$205,D70)&gt;1),"• اسم المستخدم مكرر ","")&amp;IF(AND(D70&lt;&gt;"",ISNUMBER(SEARCH(" ",D70))),"• اسم المستخدم فيه مسافة ","")&amp;IF(AND(E70&lt;&gt;"",OR(ISERROR(SEARCH("@",E70)),ISERROR(SEARCH(".",E70)))),"• البريد غير صحيح ","")&amp;IF(AND(F70&lt;&gt;"",OR(LEN(F70)&lt;&gt;10,LEFT(F70,2)&lt;&gt;"05",ISERROR(--F70))),"• الجوال ليس بصيغة 05XXXXXXXX ","")&amp;IF(AND(L70&lt;&gt;"",OR(LEN(L70)&lt;2,LEN(L70)&gt;6,ISERROR(--L70),ISNUMBER(SEARCH(".",L70)))),"• التحويلة يجب أن تكون 2-6 أرقام ","")&amp;IF(AND(L70&lt;&gt;"",COUNTIF($L$6:$L$205,L70)&gt;1),"• التحويلة مكررة ","")&amp;IF(AND(M70="نعم",L70=""),"• يجري مكالمات بدون تحويلة ","")&amp;IF(AND(K70&lt;&gt;"",COUNTIF($D$6:$D$205,K70)=0),"• المشرف غير موجود في الجدول ","")&amp;IF(AND(J70="موظف تحصيل",K70=""),"• موظف التحصيل يحتاج مشرفاً ","")&amp;IF(AND(O70&lt;&gt;"",P70=""),"• نوع الهدف بدون قيمة ",""))="","✔ مكتمل",IF(((B70="")+(C70="")+(D70="")+(E70="")+(F70="")+(H70="")+(I70="")+(J70="")+(M70="")+(Q70=""))&gt;0,"• حقول إلزامية ناقصة ","")&amp;IF(AND(D70&lt;&gt;"",COUNTIF($D$6:$D$205,D70)&gt;1),"• اسم المستخدم مكرر ","")&amp;IF(AND(D70&lt;&gt;"",ISNUMBER(SEARCH(" ",D70))),"• اسم المستخدم فيه مسافة ","")&amp;IF(AND(E70&lt;&gt;"",OR(ISERROR(SEARCH("@",E70)),ISERROR(SEARCH(".",E70)))),"• البريد غير صحيح ","")&amp;IF(AND(F70&lt;&gt;"",OR(LEN(F70)&lt;&gt;10,LEFT(F70,2)&lt;&gt;"05",ISERROR(--F70))),"• الجوال ليس بصيغة 05XXXXXXXX ","")&amp;IF(AND(L70&lt;&gt;"",OR(LEN(L70)&lt;2,LEN(L70)&gt;6,ISERROR(--L70),ISNUMBER(SEARCH(".",L70)))),"• التحويلة يجب أن تكون 2-6 أرقام ","")&amp;IF(AND(L70&lt;&gt;"",COUNTIF($L$6:$L$205,L70)&gt;1),"• التحويلة مكررة ","")&amp;IF(AND(M70="نعم",L70=""),"• يجري مكالمات بدون تحويلة ","")&amp;IF(AND(K70&lt;&gt;"",COUNTIF($D$6:$D$205,K70)=0),"• المشرف غير موجود في الجدول ","")&amp;IF(AND(J70="موظف تحصيل",K70=""),"• موظف التحصيل يحتاج مشرفاً ","")&amp;IF(AND(O70&lt;&gt;"",P70=""),"• نوع الهدف بدون قيمة ","")))</f>
        <v/>
      </c>
    </row>
    <row r="71">
      <c r="A71" s="17">
        <f>IF(COUNTA(B71:R71)=0,"",ROW()-5)</f>
        <v/>
      </c>
      <c r="B71" s="18" t="n"/>
      <c r="C71" s="18" t="n"/>
      <c r="D71" s="18" t="n"/>
      <c r="E71" s="18" t="n"/>
      <c r="F71" s="18" t="n"/>
      <c r="G71" s="18" t="n"/>
      <c r="H71" s="10" t="n"/>
      <c r="I71" s="10" t="n"/>
      <c r="J71" s="10" t="n"/>
      <c r="K71" s="10" t="n"/>
      <c r="L71" s="18" t="n"/>
      <c r="M71" s="10" t="n"/>
      <c r="N71" s="18" t="n"/>
      <c r="O71" s="10" t="n"/>
      <c r="P71" s="19" t="n"/>
      <c r="Q71" s="10" t="n"/>
      <c r="R71" s="18" t="n"/>
      <c r="S71" s="20">
        <f>IF(COUNTA(B71:R71)=0,"",IF((IF(((B71="")+(C71="")+(D71="")+(E71="")+(F71="")+(H71="")+(I71="")+(J71="")+(M71="")+(Q71=""))&gt;0,"• حقول إلزامية ناقصة ","")&amp;IF(AND(D71&lt;&gt;"",COUNTIF($D$6:$D$205,D71)&gt;1),"• اسم المستخدم مكرر ","")&amp;IF(AND(D71&lt;&gt;"",ISNUMBER(SEARCH(" ",D71))),"• اسم المستخدم فيه مسافة ","")&amp;IF(AND(E71&lt;&gt;"",OR(ISERROR(SEARCH("@",E71)),ISERROR(SEARCH(".",E71)))),"• البريد غير صحيح ","")&amp;IF(AND(F71&lt;&gt;"",OR(LEN(F71)&lt;&gt;10,LEFT(F71,2)&lt;&gt;"05",ISERROR(--F71))),"• الجوال ليس بصيغة 05XXXXXXXX ","")&amp;IF(AND(L71&lt;&gt;"",OR(LEN(L71)&lt;2,LEN(L71)&gt;6,ISERROR(--L71),ISNUMBER(SEARCH(".",L71)))),"• التحويلة يجب أن تكون 2-6 أرقام ","")&amp;IF(AND(L71&lt;&gt;"",COUNTIF($L$6:$L$205,L71)&gt;1),"• التحويلة مكررة ","")&amp;IF(AND(M71="نعم",L71=""),"• يجري مكالمات بدون تحويلة ","")&amp;IF(AND(K71&lt;&gt;"",COUNTIF($D$6:$D$205,K71)=0),"• المشرف غير موجود في الجدول ","")&amp;IF(AND(J71="موظف تحصيل",K71=""),"• موظف التحصيل يحتاج مشرفاً ","")&amp;IF(AND(O71&lt;&gt;"",P71=""),"• نوع الهدف بدون قيمة ",""))="","✔ مكتمل",IF(((B71="")+(C71="")+(D71="")+(E71="")+(F71="")+(H71="")+(I71="")+(J71="")+(M71="")+(Q71=""))&gt;0,"• حقول إلزامية ناقصة ","")&amp;IF(AND(D71&lt;&gt;"",COUNTIF($D$6:$D$205,D71)&gt;1),"• اسم المستخدم مكرر ","")&amp;IF(AND(D71&lt;&gt;"",ISNUMBER(SEARCH(" ",D71))),"• اسم المستخدم فيه مسافة ","")&amp;IF(AND(E71&lt;&gt;"",OR(ISERROR(SEARCH("@",E71)),ISERROR(SEARCH(".",E71)))),"• البريد غير صحيح ","")&amp;IF(AND(F71&lt;&gt;"",OR(LEN(F71)&lt;&gt;10,LEFT(F71,2)&lt;&gt;"05",ISERROR(--F71))),"• الجوال ليس بصيغة 05XXXXXXXX ","")&amp;IF(AND(L71&lt;&gt;"",OR(LEN(L71)&lt;2,LEN(L71)&gt;6,ISERROR(--L71),ISNUMBER(SEARCH(".",L71)))),"• التحويلة يجب أن تكون 2-6 أرقام ","")&amp;IF(AND(L71&lt;&gt;"",COUNTIF($L$6:$L$205,L71)&gt;1),"• التحويلة مكررة ","")&amp;IF(AND(M71="نعم",L71=""),"• يجري مكالمات بدون تحويلة ","")&amp;IF(AND(K71&lt;&gt;"",COUNTIF($D$6:$D$205,K71)=0),"• المشرف غير موجود في الجدول ","")&amp;IF(AND(J71="موظف تحصيل",K71=""),"• موظف التحصيل يحتاج مشرفاً ","")&amp;IF(AND(O71&lt;&gt;"",P71=""),"• نوع الهدف بدون قيمة ","")))</f>
        <v/>
      </c>
    </row>
    <row r="72">
      <c r="A72" s="17">
        <f>IF(COUNTA(B72:R72)=0,"",ROW()-5)</f>
        <v/>
      </c>
      <c r="B72" s="18" t="n"/>
      <c r="C72" s="18" t="n"/>
      <c r="D72" s="18" t="n"/>
      <c r="E72" s="18" t="n"/>
      <c r="F72" s="18" t="n"/>
      <c r="G72" s="18" t="n"/>
      <c r="H72" s="10" t="n"/>
      <c r="I72" s="10" t="n"/>
      <c r="J72" s="10" t="n"/>
      <c r="K72" s="10" t="n"/>
      <c r="L72" s="18" t="n"/>
      <c r="M72" s="10" t="n"/>
      <c r="N72" s="18" t="n"/>
      <c r="O72" s="10" t="n"/>
      <c r="P72" s="19" t="n"/>
      <c r="Q72" s="10" t="n"/>
      <c r="R72" s="18" t="n"/>
      <c r="S72" s="20">
        <f>IF(COUNTA(B72:R72)=0,"",IF((IF(((B72="")+(C72="")+(D72="")+(E72="")+(F72="")+(H72="")+(I72="")+(J72="")+(M72="")+(Q72=""))&gt;0,"• حقول إلزامية ناقصة ","")&amp;IF(AND(D72&lt;&gt;"",COUNTIF($D$6:$D$205,D72)&gt;1),"• اسم المستخدم مكرر ","")&amp;IF(AND(D72&lt;&gt;"",ISNUMBER(SEARCH(" ",D72))),"• اسم المستخدم فيه مسافة ","")&amp;IF(AND(E72&lt;&gt;"",OR(ISERROR(SEARCH("@",E72)),ISERROR(SEARCH(".",E72)))),"• البريد غير صحيح ","")&amp;IF(AND(F72&lt;&gt;"",OR(LEN(F72)&lt;&gt;10,LEFT(F72,2)&lt;&gt;"05",ISERROR(--F72))),"• الجوال ليس بصيغة 05XXXXXXXX ","")&amp;IF(AND(L72&lt;&gt;"",OR(LEN(L72)&lt;2,LEN(L72)&gt;6,ISERROR(--L72),ISNUMBER(SEARCH(".",L72)))),"• التحويلة يجب أن تكون 2-6 أرقام ","")&amp;IF(AND(L72&lt;&gt;"",COUNTIF($L$6:$L$205,L72)&gt;1),"• التحويلة مكررة ","")&amp;IF(AND(M72="نعم",L72=""),"• يجري مكالمات بدون تحويلة ","")&amp;IF(AND(K72&lt;&gt;"",COUNTIF($D$6:$D$205,K72)=0),"• المشرف غير موجود في الجدول ","")&amp;IF(AND(J72="موظف تحصيل",K72=""),"• موظف التحصيل يحتاج مشرفاً ","")&amp;IF(AND(O72&lt;&gt;"",P72=""),"• نوع الهدف بدون قيمة ",""))="","✔ مكتمل",IF(((B72="")+(C72="")+(D72="")+(E72="")+(F72="")+(H72="")+(I72="")+(J72="")+(M72="")+(Q72=""))&gt;0,"• حقول إلزامية ناقصة ","")&amp;IF(AND(D72&lt;&gt;"",COUNTIF($D$6:$D$205,D72)&gt;1),"• اسم المستخدم مكرر ","")&amp;IF(AND(D72&lt;&gt;"",ISNUMBER(SEARCH(" ",D72))),"• اسم المستخدم فيه مسافة ","")&amp;IF(AND(E72&lt;&gt;"",OR(ISERROR(SEARCH("@",E72)),ISERROR(SEARCH(".",E72)))),"• البريد غير صحيح ","")&amp;IF(AND(F72&lt;&gt;"",OR(LEN(F72)&lt;&gt;10,LEFT(F72,2)&lt;&gt;"05",ISERROR(--F72))),"• الجوال ليس بصيغة 05XXXXXXXX ","")&amp;IF(AND(L72&lt;&gt;"",OR(LEN(L72)&lt;2,LEN(L72)&gt;6,ISERROR(--L72),ISNUMBER(SEARCH(".",L72)))),"• التحويلة يجب أن تكون 2-6 أرقام ","")&amp;IF(AND(L72&lt;&gt;"",COUNTIF($L$6:$L$205,L72)&gt;1),"• التحويلة مكررة ","")&amp;IF(AND(M72="نعم",L72=""),"• يجري مكالمات بدون تحويلة ","")&amp;IF(AND(K72&lt;&gt;"",COUNTIF($D$6:$D$205,K72)=0),"• المشرف غير موجود في الجدول ","")&amp;IF(AND(J72="موظف تحصيل",K72=""),"• موظف التحصيل يحتاج مشرفاً ","")&amp;IF(AND(O72&lt;&gt;"",P72=""),"• نوع الهدف بدون قيمة ","")))</f>
        <v/>
      </c>
    </row>
    <row r="73">
      <c r="A73" s="17">
        <f>IF(COUNTA(B73:R73)=0,"",ROW()-5)</f>
        <v/>
      </c>
      <c r="B73" s="18" t="n"/>
      <c r="C73" s="18" t="n"/>
      <c r="D73" s="18" t="n"/>
      <c r="E73" s="18" t="n"/>
      <c r="F73" s="18" t="n"/>
      <c r="G73" s="18" t="n"/>
      <c r="H73" s="10" t="n"/>
      <c r="I73" s="10" t="n"/>
      <c r="J73" s="10" t="n"/>
      <c r="K73" s="10" t="n"/>
      <c r="L73" s="18" t="n"/>
      <c r="M73" s="10" t="n"/>
      <c r="N73" s="18" t="n"/>
      <c r="O73" s="10" t="n"/>
      <c r="P73" s="19" t="n"/>
      <c r="Q73" s="10" t="n"/>
      <c r="R73" s="18" t="n"/>
      <c r="S73" s="20">
        <f>IF(COUNTA(B73:R73)=0,"",IF((IF(((B73="")+(C73="")+(D73="")+(E73="")+(F73="")+(H73="")+(I73="")+(J73="")+(M73="")+(Q73=""))&gt;0,"• حقول إلزامية ناقصة ","")&amp;IF(AND(D73&lt;&gt;"",COUNTIF($D$6:$D$205,D73)&gt;1),"• اسم المستخدم مكرر ","")&amp;IF(AND(D73&lt;&gt;"",ISNUMBER(SEARCH(" ",D73))),"• اسم المستخدم فيه مسافة ","")&amp;IF(AND(E73&lt;&gt;"",OR(ISERROR(SEARCH("@",E73)),ISERROR(SEARCH(".",E73)))),"• البريد غير صحيح ","")&amp;IF(AND(F73&lt;&gt;"",OR(LEN(F73)&lt;&gt;10,LEFT(F73,2)&lt;&gt;"05",ISERROR(--F73))),"• الجوال ليس بصيغة 05XXXXXXXX ","")&amp;IF(AND(L73&lt;&gt;"",OR(LEN(L73)&lt;2,LEN(L73)&gt;6,ISERROR(--L73),ISNUMBER(SEARCH(".",L73)))),"• التحويلة يجب أن تكون 2-6 أرقام ","")&amp;IF(AND(L73&lt;&gt;"",COUNTIF($L$6:$L$205,L73)&gt;1),"• التحويلة مكررة ","")&amp;IF(AND(M73="نعم",L73=""),"• يجري مكالمات بدون تحويلة ","")&amp;IF(AND(K73&lt;&gt;"",COUNTIF($D$6:$D$205,K73)=0),"• المشرف غير موجود في الجدول ","")&amp;IF(AND(J73="موظف تحصيل",K73=""),"• موظف التحصيل يحتاج مشرفاً ","")&amp;IF(AND(O73&lt;&gt;"",P73=""),"• نوع الهدف بدون قيمة ",""))="","✔ مكتمل",IF(((B73="")+(C73="")+(D73="")+(E73="")+(F73="")+(H73="")+(I73="")+(J73="")+(M73="")+(Q73=""))&gt;0,"• حقول إلزامية ناقصة ","")&amp;IF(AND(D73&lt;&gt;"",COUNTIF($D$6:$D$205,D73)&gt;1),"• اسم المستخدم مكرر ","")&amp;IF(AND(D73&lt;&gt;"",ISNUMBER(SEARCH(" ",D73))),"• اسم المستخدم فيه مسافة ","")&amp;IF(AND(E73&lt;&gt;"",OR(ISERROR(SEARCH("@",E73)),ISERROR(SEARCH(".",E73)))),"• البريد غير صحيح ","")&amp;IF(AND(F73&lt;&gt;"",OR(LEN(F73)&lt;&gt;10,LEFT(F73,2)&lt;&gt;"05",ISERROR(--F73))),"• الجوال ليس بصيغة 05XXXXXXXX ","")&amp;IF(AND(L73&lt;&gt;"",OR(LEN(L73)&lt;2,LEN(L73)&gt;6,ISERROR(--L73),ISNUMBER(SEARCH(".",L73)))),"• التحويلة يجب أن تكون 2-6 أرقام ","")&amp;IF(AND(L73&lt;&gt;"",COUNTIF($L$6:$L$205,L73)&gt;1),"• التحويلة مكررة ","")&amp;IF(AND(M73="نعم",L73=""),"• يجري مكالمات بدون تحويلة ","")&amp;IF(AND(K73&lt;&gt;"",COUNTIF($D$6:$D$205,K73)=0),"• المشرف غير موجود في الجدول ","")&amp;IF(AND(J73="موظف تحصيل",K73=""),"• موظف التحصيل يحتاج مشرفاً ","")&amp;IF(AND(O73&lt;&gt;"",P73=""),"• نوع الهدف بدون قيمة ","")))</f>
        <v/>
      </c>
    </row>
    <row r="74">
      <c r="A74" s="17">
        <f>IF(COUNTA(B74:R74)=0,"",ROW()-5)</f>
        <v/>
      </c>
      <c r="B74" s="18" t="n"/>
      <c r="C74" s="18" t="n"/>
      <c r="D74" s="18" t="n"/>
      <c r="E74" s="18" t="n"/>
      <c r="F74" s="18" t="n"/>
      <c r="G74" s="18" t="n"/>
      <c r="H74" s="10" t="n"/>
      <c r="I74" s="10" t="n"/>
      <c r="J74" s="10" t="n"/>
      <c r="K74" s="10" t="n"/>
      <c r="L74" s="18" t="n"/>
      <c r="M74" s="10" t="n"/>
      <c r="N74" s="18" t="n"/>
      <c r="O74" s="10" t="n"/>
      <c r="P74" s="19" t="n"/>
      <c r="Q74" s="10" t="n"/>
      <c r="R74" s="18" t="n"/>
      <c r="S74" s="20">
        <f>IF(COUNTA(B74:R74)=0,"",IF((IF(((B74="")+(C74="")+(D74="")+(E74="")+(F74="")+(H74="")+(I74="")+(J74="")+(M74="")+(Q74=""))&gt;0,"• حقول إلزامية ناقصة ","")&amp;IF(AND(D74&lt;&gt;"",COUNTIF($D$6:$D$205,D74)&gt;1),"• اسم المستخدم مكرر ","")&amp;IF(AND(D74&lt;&gt;"",ISNUMBER(SEARCH(" ",D74))),"• اسم المستخدم فيه مسافة ","")&amp;IF(AND(E74&lt;&gt;"",OR(ISERROR(SEARCH("@",E74)),ISERROR(SEARCH(".",E74)))),"• البريد غير صحيح ","")&amp;IF(AND(F74&lt;&gt;"",OR(LEN(F74)&lt;&gt;10,LEFT(F74,2)&lt;&gt;"05",ISERROR(--F74))),"• الجوال ليس بصيغة 05XXXXXXXX ","")&amp;IF(AND(L74&lt;&gt;"",OR(LEN(L74)&lt;2,LEN(L74)&gt;6,ISERROR(--L74),ISNUMBER(SEARCH(".",L74)))),"• التحويلة يجب أن تكون 2-6 أرقام ","")&amp;IF(AND(L74&lt;&gt;"",COUNTIF($L$6:$L$205,L74)&gt;1),"• التحويلة مكررة ","")&amp;IF(AND(M74="نعم",L74=""),"• يجري مكالمات بدون تحويلة ","")&amp;IF(AND(K74&lt;&gt;"",COUNTIF($D$6:$D$205,K74)=0),"• المشرف غير موجود في الجدول ","")&amp;IF(AND(J74="موظف تحصيل",K74=""),"• موظف التحصيل يحتاج مشرفاً ","")&amp;IF(AND(O74&lt;&gt;"",P74=""),"• نوع الهدف بدون قيمة ",""))="","✔ مكتمل",IF(((B74="")+(C74="")+(D74="")+(E74="")+(F74="")+(H74="")+(I74="")+(J74="")+(M74="")+(Q74=""))&gt;0,"• حقول إلزامية ناقصة ","")&amp;IF(AND(D74&lt;&gt;"",COUNTIF($D$6:$D$205,D74)&gt;1),"• اسم المستخدم مكرر ","")&amp;IF(AND(D74&lt;&gt;"",ISNUMBER(SEARCH(" ",D74))),"• اسم المستخدم فيه مسافة ","")&amp;IF(AND(E74&lt;&gt;"",OR(ISERROR(SEARCH("@",E74)),ISERROR(SEARCH(".",E74)))),"• البريد غير صحيح ","")&amp;IF(AND(F74&lt;&gt;"",OR(LEN(F74)&lt;&gt;10,LEFT(F74,2)&lt;&gt;"05",ISERROR(--F74))),"• الجوال ليس بصيغة 05XXXXXXXX ","")&amp;IF(AND(L74&lt;&gt;"",OR(LEN(L74)&lt;2,LEN(L74)&gt;6,ISERROR(--L74),ISNUMBER(SEARCH(".",L74)))),"• التحويلة يجب أن تكون 2-6 أرقام ","")&amp;IF(AND(L74&lt;&gt;"",COUNTIF($L$6:$L$205,L74)&gt;1),"• التحويلة مكررة ","")&amp;IF(AND(M74="نعم",L74=""),"• يجري مكالمات بدون تحويلة ","")&amp;IF(AND(K74&lt;&gt;"",COUNTIF($D$6:$D$205,K74)=0),"• المشرف غير موجود في الجدول ","")&amp;IF(AND(J74="موظف تحصيل",K74=""),"• موظف التحصيل يحتاج مشرفاً ","")&amp;IF(AND(O74&lt;&gt;"",P74=""),"• نوع الهدف بدون قيمة ","")))</f>
        <v/>
      </c>
    </row>
    <row r="75">
      <c r="A75" s="17">
        <f>IF(COUNTA(B75:R75)=0,"",ROW()-5)</f>
        <v/>
      </c>
      <c r="B75" s="18" t="n"/>
      <c r="C75" s="18" t="n"/>
      <c r="D75" s="18" t="n"/>
      <c r="E75" s="18" t="n"/>
      <c r="F75" s="18" t="n"/>
      <c r="G75" s="18" t="n"/>
      <c r="H75" s="10" t="n"/>
      <c r="I75" s="10" t="n"/>
      <c r="J75" s="10" t="n"/>
      <c r="K75" s="10" t="n"/>
      <c r="L75" s="18" t="n"/>
      <c r="M75" s="10" t="n"/>
      <c r="N75" s="18" t="n"/>
      <c r="O75" s="10" t="n"/>
      <c r="P75" s="19" t="n"/>
      <c r="Q75" s="10" t="n"/>
      <c r="R75" s="18" t="n"/>
      <c r="S75" s="20">
        <f>IF(COUNTA(B75:R75)=0,"",IF((IF(((B75="")+(C75="")+(D75="")+(E75="")+(F75="")+(H75="")+(I75="")+(J75="")+(M75="")+(Q75=""))&gt;0,"• حقول إلزامية ناقصة ","")&amp;IF(AND(D75&lt;&gt;"",COUNTIF($D$6:$D$205,D75)&gt;1),"• اسم المستخدم مكرر ","")&amp;IF(AND(D75&lt;&gt;"",ISNUMBER(SEARCH(" ",D75))),"• اسم المستخدم فيه مسافة ","")&amp;IF(AND(E75&lt;&gt;"",OR(ISERROR(SEARCH("@",E75)),ISERROR(SEARCH(".",E75)))),"• البريد غير صحيح ","")&amp;IF(AND(F75&lt;&gt;"",OR(LEN(F75)&lt;&gt;10,LEFT(F75,2)&lt;&gt;"05",ISERROR(--F75))),"• الجوال ليس بصيغة 05XXXXXXXX ","")&amp;IF(AND(L75&lt;&gt;"",OR(LEN(L75)&lt;2,LEN(L75)&gt;6,ISERROR(--L75),ISNUMBER(SEARCH(".",L75)))),"• التحويلة يجب أن تكون 2-6 أرقام ","")&amp;IF(AND(L75&lt;&gt;"",COUNTIF($L$6:$L$205,L75)&gt;1),"• التحويلة مكررة ","")&amp;IF(AND(M75="نعم",L75=""),"• يجري مكالمات بدون تحويلة ","")&amp;IF(AND(K75&lt;&gt;"",COUNTIF($D$6:$D$205,K75)=0),"• المشرف غير موجود في الجدول ","")&amp;IF(AND(J75="موظف تحصيل",K75=""),"• موظف التحصيل يحتاج مشرفاً ","")&amp;IF(AND(O75&lt;&gt;"",P75=""),"• نوع الهدف بدون قيمة ",""))="","✔ مكتمل",IF(((B75="")+(C75="")+(D75="")+(E75="")+(F75="")+(H75="")+(I75="")+(J75="")+(M75="")+(Q75=""))&gt;0,"• حقول إلزامية ناقصة ","")&amp;IF(AND(D75&lt;&gt;"",COUNTIF($D$6:$D$205,D75)&gt;1),"• اسم المستخدم مكرر ","")&amp;IF(AND(D75&lt;&gt;"",ISNUMBER(SEARCH(" ",D75))),"• اسم المستخدم فيه مسافة ","")&amp;IF(AND(E75&lt;&gt;"",OR(ISERROR(SEARCH("@",E75)),ISERROR(SEARCH(".",E75)))),"• البريد غير صحيح ","")&amp;IF(AND(F75&lt;&gt;"",OR(LEN(F75)&lt;&gt;10,LEFT(F75,2)&lt;&gt;"05",ISERROR(--F75))),"• الجوال ليس بصيغة 05XXXXXXXX ","")&amp;IF(AND(L75&lt;&gt;"",OR(LEN(L75)&lt;2,LEN(L75)&gt;6,ISERROR(--L75),ISNUMBER(SEARCH(".",L75)))),"• التحويلة يجب أن تكون 2-6 أرقام ","")&amp;IF(AND(L75&lt;&gt;"",COUNTIF($L$6:$L$205,L75)&gt;1),"• التحويلة مكررة ","")&amp;IF(AND(M75="نعم",L75=""),"• يجري مكالمات بدون تحويلة ","")&amp;IF(AND(K75&lt;&gt;"",COUNTIF($D$6:$D$205,K75)=0),"• المشرف غير موجود في الجدول ","")&amp;IF(AND(J75="موظف تحصيل",K75=""),"• موظف التحصيل يحتاج مشرفاً ","")&amp;IF(AND(O75&lt;&gt;"",P75=""),"• نوع الهدف بدون قيمة ","")))</f>
        <v/>
      </c>
    </row>
    <row r="76">
      <c r="A76" s="17">
        <f>IF(COUNTA(B76:R76)=0,"",ROW()-5)</f>
        <v/>
      </c>
      <c r="B76" s="18" t="n"/>
      <c r="C76" s="18" t="n"/>
      <c r="D76" s="18" t="n"/>
      <c r="E76" s="18" t="n"/>
      <c r="F76" s="18" t="n"/>
      <c r="G76" s="18" t="n"/>
      <c r="H76" s="10" t="n"/>
      <c r="I76" s="10" t="n"/>
      <c r="J76" s="10" t="n"/>
      <c r="K76" s="10" t="n"/>
      <c r="L76" s="18" t="n"/>
      <c r="M76" s="10" t="n"/>
      <c r="N76" s="18" t="n"/>
      <c r="O76" s="10" t="n"/>
      <c r="P76" s="19" t="n"/>
      <c r="Q76" s="10" t="n"/>
      <c r="R76" s="18" t="n"/>
      <c r="S76" s="20">
        <f>IF(COUNTA(B76:R76)=0,"",IF((IF(((B76="")+(C76="")+(D76="")+(E76="")+(F76="")+(H76="")+(I76="")+(J76="")+(M76="")+(Q76=""))&gt;0,"• حقول إلزامية ناقصة ","")&amp;IF(AND(D76&lt;&gt;"",COUNTIF($D$6:$D$205,D76)&gt;1),"• اسم المستخدم مكرر ","")&amp;IF(AND(D76&lt;&gt;"",ISNUMBER(SEARCH(" ",D76))),"• اسم المستخدم فيه مسافة ","")&amp;IF(AND(E76&lt;&gt;"",OR(ISERROR(SEARCH("@",E76)),ISERROR(SEARCH(".",E76)))),"• البريد غير صحيح ","")&amp;IF(AND(F76&lt;&gt;"",OR(LEN(F76)&lt;&gt;10,LEFT(F76,2)&lt;&gt;"05",ISERROR(--F76))),"• الجوال ليس بصيغة 05XXXXXXXX ","")&amp;IF(AND(L76&lt;&gt;"",OR(LEN(L76)&lt;2,LEN(L76)&gt;6,ISERROR(--L76),ISNUMBER(SEARCH(".",L76)))),"• التحويلة يجب أن تكون 2-6 أرقام ","")&amp;IF(AND(L76&lt;&gt;"",COUNTIF($L$6:$L$205,L76)&gt;1),"• التحويلة مكررة ","")&amp;IF(AND(M76="نعم",L76=""),"• يجري مكالمات بدون تحويلة ","")&amp;IF(AND(K76&lt;&gt;"",COUNTIF($D$6:$D$205,K76)=0),"• المشرف غير موجود في الجدول ","")&amp;IF(AND(J76="موظف تحصيل",K76=""),"• موظف التحصيل يحتاج مشرفاً ","")&amp;IF(AND(O76&lt;&gt;"",P76=""),"• نوع الهدف بدون قيمة ",""))="","✔ مكتمل",IF(((B76="")+(C76="")+(D76="")+(E76="")+(F76="")+(H76="")+(I76="")+(J76="")+(M76="")+(Q76=""))&gt;0,"• حقول إلزامية ناقصة ","")&amp;IF(AND(D76&lt;&gt;"",COUNTIF($D$6:$D$205,D76)&gt;1),"• اسم المستخدم مكرر ","")&amp;IF(AND(D76&lt;&gt;"",ISNUMBER(SEARCH(" ",D76))),"• اسم المستخدم فيه مسافة ","")&amp;IF(AND(E76&lt;&gt;"",OR(ISERROR(SEARCH("@",E76)),ISERROR(SEARCH(".",E76)))),"• البريد غير صحيح ","")&amp;IF(AND(F76&lt;&gt;"",OR(LEN(F76)&lt;&gt;10,LEFT(F76,2)&lt;&gt;"05",ISERROR(--F76))),"• الجوال ليس بصيغة 05XXXXXXXX ","")&amp;IF(AND(L76&lt;&gt;"",OR(LEN(L76)&lt;2,LEN(L76)&gt;6,ISERROR(--L76),ISNUMBER(SEARCH(".",L76)))),"• التحويلة يجب أن تكون 2-6 أرقام ","")&amp;IF(AND(L76&lt;&gt;"",COUNTIF($L$6:$L$205,L76)&gt;1),"• التحويلة مكررة ","")&amp;IF(AND(M76="نعم",L76=""),"• يجري مكالمات بدون تحويلة ","")&amp;IF(AND(K76&lt;&gt;"",COUNTIF($D$6:$D$205,K76)=0),"• المشرف غير موجود في الجدول ","")&amp;IF(AND(J76="موظف تحصيل",K76=""),"• موظف التحصيل يحتاج مشرفاً ","")&amp;IF(AND(O76&lt;&gt;"",P76=""),"• نوع الهدف بدون قيمة ","")))</f>
        <v/>
      </c>
    </row>
    <row r="77">
      <c r="A77" s="17">
        <f>IF(COUNTA(B77:R77)=0,"",ROW()-5)</f>
        <v/>
      </c>
      <c r="B77" s="18" t="n"/>
      <c r="C77" s="18" t="n"/>
      <c r="D77" s="18" t="n"/>
      <c r="E77" s="18" t="n"/>
      <c r="F77" s="18" t="n"/>
      <c r="G77" s="18" t="n"/>
      <c r="H77" s="10" t="n"/>
      <c r="I77" s="10" t="n"/>
      <c r="J77" s="10" t="n"/>
      <c r="K77" s="10" t="n"/>
      <c r="L77" s="18" t="n"/>
      <c r="M77" s="10" t="n"/>
      <c r="N77" s="18" t="n"/>
      <c r="O77" s="10" t="n"/>
      <c r="P77" s="19" t="n"/>
      <c r="Q77" s="10" t="n"/>
      <c r="R77" s="18" t="n"/>
      <c r="S77" s="20">
        <f>IF(COUNTA(B77:R77)=0,"",IF((IF(((B77="")+(C77="")+(D77="")+(E77="")+(F77="")+(H77="")+(I77="")+(J77="")+(M77="")+(Q77=""))&gt;0,"• حقول إلزامية ناقصة ","")&amp;IF(AND(D77&lt;&gt;"",COUNTIF($D$6:$D$205,D77)&gt;1),"• اسم المستخدم مكرر ","")&amp;IF(AND(D77&lt;&gt;"",ISNUMBER(SEARCH(" ",D77))),"• اسم المستخدم فيه مسافة ","")&amp;IF(AND(E77&lt;&gt;"",OR(ISERROR(SEARCH("@",E77)),ISERROR(SEARCH(".",E77)))),"• البريد غير صحيح ","")&amp;IF(AND(F77&lt;&gt;"",OR(LEN(F77)&lt;&gt;10,LEFT(F77,2)&lt;&gt;"05",ISERROR(--F77))),"• الجوال ليس بصيغة 05XXXXXXXX ","")&amp;IF(AND(L77&lt;&gt;"",OR(LEN(L77)&lt;2,LEN(L77)&gt;6,ISERROR(--L77),ISNUMBER(SEARCH(".",L77)))),"• التحويلة يجب أن تكون 2-6 أرقام ","")&amp;IF(AND(L77&lt;&gt;"",COUNTIF($L$6:$L$205,L77)&gt;1),"• التحويلة مكررة ","")&amp;IF(AND(M77="نعم",L77=""),"• يجري مكالمات بدون تحويلة ","")&amp;IF(AND(K77&lt;&gt;"",COUNTIF($D$6:$D$205,K77)=0),"• المشرف غير موجود في الجدول ","")&amp;IF(AND(J77="موظف تحصيل",K77=""),"• موظف التحصيل يحتاج مشرفاً ","")&amp;IF(AND(O77&lt;&gt;"",P77=""),"• نوع الهدف بدون قيمة ",""))="","✔ مكتمل",IF(((B77="")+(C77="")+(D77="")+(E77="")+(F77="")+(H77="")+(I77="")+(J77="")+(M77="")+(Q77=""))&gt;0,"• حقول إلزامية ناقصة ","")&amp;IF(AND(D77&lt;&gt;"",COUNTIF($D$6:$D$205,D77)&gt;1),"• اسم المستخدم مكرر ","")&amp;IF(AND(D77&lt;&gt;"",ISNUMBER(SEARCH(" ",D77))),"• اسم المستخدم فيه مسافة ","")&amp;IF(AND(E77&lt;&gt;"",OR(ISERROR(SEARCH("@",E77)),ISERROR(SEARCH(".",E77)))),"• البريد غير صحيح ","")&amp;IF(AND(F77&lt;&gt;"",OR(LEN(F77)&lt;&gt;10,LEFT(F77,2)&lt;&gt;"05",ISERROR(--F77))),"• الجوال ليس بصيغة 05XXXXXXXX ","")&amp;IF(AND(L77&lt;&gt;"",OR(LEN(L77)&lt;2,LEN(L77)&gt;6,ISERROR(--L77),ISNUMBER(SEARCH(".",L77)))),"• التحويلة يجب أن تكون 2-6 أرقام ","")&amp;IF(AND(L77&lt;&gt;"",COUNTIF($L$6:$L$205,L77)&gt;1),"• التحويلة مكررة ","")&amp;IF(AND(M77="نعم",L77=""),"• يجري مكالمات بدون تحويلة ","")&amp;IF(AND(K77&lt;&gt;"",COUNTIF($D$6:$D$205,K77)=0),"• المشرف غير موجود في الجدول ","")&amp;IF(AND(J77="موظف تحصيل",K77=""),"• موظف التحصيل يحتاج مشرفاً ","")&amp;IF(AND(O77&lt;&gt;"",P77=""),"• نوع الهدف بدون قيمة ","")))</f>
        <v/>
      </c>
    </row>
    <row r="78">
      <c r="A78" s="17">
        <f>IF(COUNTA(B78:R78)=0,"",ROW()-5)</f>
        <v/>
      </c>
      <c r="B78" s="18" t="n"/>
      <c r="C78" s="18" t="n"/>
      <c r="D78" s="18" t="n"/>
      <c r="E78" s="18" t="n"/>
      <c r="F78" s="18" t="n"/>
      <c r="G78" s="18" t="n"/>
      <c r="H78" s="10" t="n"/>
      <c r="I78" s="10" t="n"/>
      <c r="J78" s="10" t="n"/>
      <c r="K78" s="10" t="n"/>
      <c r="L78" s="18" t="n"/>
      <c r="M78" s="10" t="n"/>
      <c r="N78" s="18" t="n"/>
      <c r="O78" s="10" t="n"/>
      <c r="P78" s="19" t="n"/>
      <c r="Q78" s="10" t="n"/>
      <c r="R78" s="18" t="n"/>
      <c r="S78" s="20">
        <f>IF(COUNTA(B78:R78)=0,"",IF((IF(((B78="")+(C78="")+(D78="")+(E78="")+(F78="")+(H78="")+(I78="")+(J78="")+(M78="")+(Q78=""))&gt;0,"• حقول إلزامية ناقصة ","")&amp;IF(AND(D78&lt;&gt;"",COUNTIF($D$6:$D$205,D78)&gt;1),"• اسم المستخدم مكرر ","")&amp;IF(AND(D78&lt;&gt;"",ISNUMBER(SEARCH(" ",D78))),"• اسم المستخدم فيه مسافة ","")&amp;IF(AND(E78&lt;&gt;"",OR(ISERROR(SEARCH("@",E78)),ISERROR(SEARCH(".",E78)))),"• البريد غير صحيح ","")&amp;IF(AND(F78&lt;&gt;"",OR(LEN(F78)&lt;&gt;10,LEFT(F78,2)&lt;&gt;"05",ISERROR(--F78))),"• الجوال ليس بصيغة 05XXXXXXXX ","")&amp;IF(AND(L78&lt;&gt;"",OR(LEN(L78)&lt;2,LEN(L78)&gt;6,ISERROR(--L78),ISNUMBER(SEARCH(".",L78)))),"• التحويلة يجب أن تكون 2-6 أرقام ","")&amp;IF(AND(L78&lt;&gt;"",COUNTIF($L$6:$L$205,L78)&gt;1),"• التحويلة مكررة ","")&amp;IF(AND(M78="نعم",L78=""),"• يجري مكالمات بدون تحويلة ","")&amp;IF(AND(K78&lt;&gt;"",COUNTIF($D$6:$D$205,K78)=0),"• المشرف غير موجود في الجدول ","")&amp;IF(AND(J78="موظف تحصيل",K78=""),"• موظف التحصيل يحتاج مشرفاً ","")&amp;IF(AND(O78&lt;&gt;"",P78=""),"• نوع الهدف بدون قيمة ",""))="","✔ مكتمل",IF(((B78="")+(C78="")+(D78="")+(E78="")+(F78="")+(H78="")+(I78="")+(J78="")+(M78="")+(Q78=""))&gt;0,"• حقول إلزامية ناقصة ","")&amp;IF(AND(D78&lt;&gt;"",COUNTIF($D$6:$D$205,D78)&gt;1),"• اسم المستخدم مكرر ","")&amp;IF(AND(D78&lt;&gt;"",ISNUMBER(SEARCH(" ",D78))),"• اسم المستخدم فيه مسافة ","")&amp;IF(AND(E78&lt;&gt;"",OR(ISERROR(SEARCH("@",E78)),ISERROR(SEARCH(".",E78)))),"• البريد غير صحيح ","")&amp;IF(AND(F78&lt;&gt;"",OR(LEN(F78)&lt;&gt;10,LEFT(F78,2)&lt;&gt;"05",ISERROR(--F78))),"• الجوال ليس بصيغة 05XXXXXXXX ","")&amp;IF(AND(L78&lt;&gt;"",OR(LEN(L78)&lt;2,LEN(L78)&gt;6,ISERROR(--L78),ISNUMBER(SEARCH(".",L78)))),"• التحويلة يجب أن تكون 2-6 أرقام ","")&amp;IF(AND(L78&lt;&gt;"",COUNTIF($L$6:$L$205,L78)&gt;1),"• التحويلة مكررة ","")&amp;IF(AND(M78="نعم",L78=""),"• يجري مكالمات بدون تحويلة ","")&amp;IF(AND(K78&lt;&gt;"",COUNTIF($D$6:$D$205,K78)=0),"• المشرف غير موجود في الجدول ","")&amp;IF(AND(J78="موظف تحصيل",K78=""),"• موظف التحصيل يحتاج مشرفاً ","")&amp;IF(AND(O78&lt;&gt;"",P78=""),"• نوع الهدف بدون قيمة ","")))</f>
        <v/>
      </c>
    </row>
    <row r="79">
      <c r="A79" s="17">
        <f>IF(COUNTA(B79:R79)=0,"",ROW()-5)</f>
        <v/>
      </c>
      <c r="B79" s="18" t="n"/>
      <c r="C79" s="18" t="n"/>
      <c r="D79" s="18" t="n"/>
      <c r="E79" s="18" t="n"/>
      <c r="F79" s="18" t="n"/>
      <c r="G79" s="18" t="n"/>
      <c r="H79" s="10" t="n"/>
      <c r="I79" s="10" t="n"/>
      <c r="J79" s="10" t="n"/>
      <c r="K79" s="10" t="n"/>
      <c r="L79" s="18" t="n"/>
      <c r="M79" s="10" t="n"/>
      <c r="N79" s="18" t="n"/>
      <c r="O79" s="10" t="n"/>
      <c r="P79" s="19" t="n"/>
      <c r="Q79" s="10" t="n"/>
      <c r="R79" s="18" t="n"/>
      <c r="S79" s="20">
        <f>IF(COUNTA(B79:R79)=0,"",IF((IF(((B79="")+(C79="")+(D79="")+(E79="")+(F79="")+(H79="")+(I79="")+(J79="")+(M79="")+(Q79=""))&gt;0,"• حقول إلزامية ناقصة ","")&amp;IF(AND(D79&lt;&gt;"",COUNTIF($D$6:$D$205,D79)&gt;1),"• اسم المستخدم مكرر ","")&amp;IF(AND(D79&lt;&gt;"",ISNUMBER(SEARCH(" ",D79))),"• اسم المستخدم فيه مسافة ","")&amp;IF(AND(E79&lt;&gt;"",OR(ISERROR(SEARCH("@",E79)),ISERROR(SEARCH(".",E79)))),"• البريد غير صحيح ","")&amp;IF(AND(F79&lt;&gt;"",OR(LEN(F79)&lt;&gt;10,LEFT(F79,2)&lt;&gt;"05",ISERROR(--F79))),"• الجوال ليس بصيغة 05XXXXXXXX ","")&amp;IF(AND(L79&lt;&gt;"",OR(LEN(L79)&lt;2,LEN(L79)&gt;6,ISERROR(--L79),ISNUMBER(SEARCH(".",L79)))),"• التحويلة يجب أن تكون 2-6 أرقام ","")&amp;IF(AND(L79&lt;&gt;"",COUNTIF($L$6:$L$205,L79)&gt;1),"• التحويلة مكررة ","")&amp;IF(AND(M79="نعم",L79=""),"• يجري مكالمات بدون تحويلة ","")&amp;IF(AND(K79&lt;&gt;"",COUNTIF($D$6:$D$205,K79)=0),"• المشرف غير موجود في الجدول ","")&amp;IF(AND(J79="موظف تحصيل",K79=""),"• موظف التحصيل يحتاج مشرفاً ","")&amp;IF(AND(O79&lt;&gt;"",P79=""),"• نوع الهدف بدون قيمة ",""))="","✔ مكتمل",IF(((B79="")+(C79="")+(D79="")+(E79="")+(F79="")+(H79="")+(I79="")+(J79="")+(M79="")+(Q79=""))&gt;0,"• حقول إلزامية ناقصة ","")&amp;IF(AND(D79&lt;&gt;"",COUNTIF($D$6:$D$205,D79)&gt;1),"• اسم المستخدم مكرر ","")&amp;IF(AND(D79&lt;&gt;"",ISNUMBER(SEARCH(" ",D79))),"• اسم المستخدم فيه مسافة ","")&amp;IF(AND(E79&lt;&gt;"",OR(ISERROR(SEARCH("@",E79)),ISERROR(SEARCH(".",E79)))),"• البريد غير صحيح ","")&amp;IF(AND(F79&lt;&gt;"",OR(LEN(F79)&lt;&gt;10,LEFT(F79,2)&lt;&gt;"05",ISERROR(--F79))),"• الجوال ليس بصيغة 05XXXXXXXX ","")&amp;IF(AND(L79&lt;&gt;"",OR(LEN(L79)&lt;2,LEN(L79)&gt;6,ISERROR(--L79),ISNUMBER(SEARCH(".",L79)))),"• التحويلة يجب أن تكون 2-6 أرقام ","")&amp;IF(AND(L79&lt;&gt;"",COUNTIF($L$6:$L$205,L79)&gt;1),"• التحويلة مكررة ","")&amp;IF(AND(M79="نعم",L79=""),"• يجري مكالمات بدون تحويلة ","")&amp;IF(AND(K79&lt;&gt;"",COUNTIF($D$6:$D$205,K79)=0),"• المشرف غير موجود في الجدول ","")&amp;IF(AND(J79="موظف تحصيل",K79=""),"• موظف التحصيل يحتاج مشرفاً ","")&amp;IF(AND(O79&lt;&gt;"",P79=""),"• نوع الهدف بدون قيمة ","")))</f>
        <v/>
      </c>
    </row>
    <row r="80">
      <c r="A80" s="17">
        <f>IF(COUNTA(B80:R80)=0,"",ROW()-5)</f>
        <v/>
      </c>
      <c r="B80" s="18" t="n"/>
      <c r="C80" s="18" t="n"/>
      <c r="D80" s="18" t="n"/>
      <c r="E80" s="18" t="n"/>
      <c r="F80" s="18" t="n"/>
      <c r="G80" s="18" t="n"/>
      <c r="H80" s="10" t="n"/>
      <c r="I80" s="10" t="n"/>
      <c r="J80" s="10" t="n"/>
      <c r="K80" s="10" t="n"/>
      <c r="L80" s="18" t="n"/>
      <c r="M80" s="10" t="n"/>
      <c r="N80" s="18" t="n"/>
      <c r="O80" s="10" t="n"/>
      <c r="P80" s="19" t="n"/>
      <c r="Q80" s="10" t="n"/>
      <c r="R80" s="18" t="n"/>
      <c r="S80" s="20">
        <f>IF(COUNTA(B80:R80)=0,"",IF((IF(((B80="")+(C80="")+(D80="")+(E80="")+(F80="")+(H80="")+(I80="")+(J80="")+(M80="")+(Q80=""))&gt;0,"• حقول إلزامية ناقصة ","")&amp;IF(AND(D80&lt;&gt;"",COUNTIF($D$6:$D$205,D80)&gt;1),"• اسم المستخدم مكرر ","")&amp;IF(AND(D80&lt;&gt;"",ISNUMBER(SEARCH(" ",D80))),"• اسم المستخدم فيه مسافة ","")&amp;IF(AND(E80&lt;&gt;"",OR(ISERROR(SEARCH("@",E80)),ISERROR(SEARCH(".",E80)))),"• البريد غير صحيح ","")&amp;IF(AND(F80&lt;&gt;"",OR(LEN(F80)&lt;&gt;10,LEFT(F80,2)&lt;&gt;"05",ISERROR(--F80))),"• الجوال ليس بصيغة 05XXXXXXXX ","")&amp;IF(AND(L80&lt;&gt;"",OR(LEN(L80)&lt;2,LEN(L80)&gt;6,ISERROR(--L80),ISNUMBER(SEARCH(".",L80)))),"• التحويلة يجب أن تكون 2-6 أرقام ","")&amp;IF(AND(L80&lt;&gt;"",COUNTIF($L$6:$L$205,L80)&gt;1),"• التحويلة مكررة ","")&amp;IF(AND(M80="نعم",L80=""),"• يجري مكالمات بدون تحويلة ","")&amp;IF(AND(K80&lt;&gt;"",COUNTIF($D$6:$D$205,K80)=0),"• المشرف غير موجود في الجدول ","")&amp;IF(AND(J80="موظف تحصيل",K80=""),"• موظف التحصيل يحتاج مشرفاً ","")&amp;IF(AND(O80&lt;&gt;"",P80=""),"• نوع الهدف بدون قيمة ",""))="","✔ مكتمل",IF(((B80="")+(C80="")+(D80="")+(E80="")+(F80="")+(H80="")+(I80="")+(J80="")+(M80="")+(Q80=""))&gt;0,"• حقول إلزامية ناقصة ","")&amp;IF(AND(D80&lt;&gt;"",COUNTIF($D$6:$D$205,D80)&gt;1),"• اسم المستخدم مكرر ","")&amp;IF(AND(D80&lt;&gt;"",ISNUMBER(SEARCH(" ",D80))),"• اسم المستخدم فيه مسافة ","")&amp;IF(AND(E80&lt;&gt;"",OR(ISERROR(SEARCH("@",E80)),ISERROR(SEARCH(".",E80)))),"• البريد غير صحيح ","")&amp;IF(AND(F80&lt;&gt;"",OR(LEN(F80)&lt;&gt;10,LEFT(F80,2)&lt;&gt;"05",ISERROR(--F80))),"• الجوال ليس بصيغة 05XXXXXXXX ","")&amp;IF(AND(L80&lt;&gt;"",OR(LEN(L80)&lt;2,LEN(L80)&gt;6,ISERROR(--L80),ISNUMBER(SEARCH(".",L80)))),"• التحويلة يجب أن تكون 2-6 أرقام ","")&amp;IF(AND(L80&lt;&gt;"",COUNTIF($L$6:$L$205,L80)&gt;1),"• التحويلة مكررة ","")&amp;IF(AND(M80="نعم",L80=""),"• يجري مكالمات بدون تحويلة ","")&amp;IF(AND(K80&lt;&gt;"",COUNTIF($D$6:$D$205,K80)=0),"• المشرف غير موجود في الجدول ","")&amp;IF(AND(J80="موظف تحصيل",K80=""),"• موظف التحصيل يحتاج مشرفاً ","")&amp;IF(AND(O80&lt;&gt;"",P80=""),"• نوع الهدف بدون قيمة ","")))</f>
        <v/>
      </c>
    </row>
    <row r="81">
      <c r="A81" s="17">
        <f>IF(COUNTA(B81:R81)=0,"",ROW()-5)</f>
        <v/>
      </c>
      <c r="B81" s="18" t="n"/>
      <c r="C81" s="18" t="n"/>
      <c r="D81" s="18" t="n"/>
      <c r="E81" s="18" t="n"/>
      <c r="F81" s="18" t="n"/>
      <c r="G81" s="18" t="n"/>
      <c r="H81" s="10" t="n"/>
      <c r="I81" s="10" t="n"/>
      <c r="J81" s="10" t="n"/>
      <c r="K81" s="10" t="n"/>
      <c r="L81" s="18" t="n"/>
      <c r="M81" s="10" t="n"/>
      <c r="N81" s="18" t="n"/>
      <c r="O81" s="10" t="n"/>
      <c r="P81" s="19" t="n"/>
      <c r="Q81" s="10" t="n"/>
      <c r="R81" s="18" t="n"/>
      <c r="S81" s="20">
        <f>IF(COUNTA(B81:R81)=0,"",IF((IF(((B81="")+(C81="")+(D81="")+(E81="")+(F81="")+(H81="")+(I81="")+(J81="")+(M81="")+(Q81=""))&gt;0,"• حقول إلزامية ناقصة ","")&amp;IF(AND(D81&lt;&gt;"",COUNTIF($D$6:$D$205,D81)&gt;1),"• اسم المستخدم مكرر ","")&amp;IF(AND(D81&lt;&gt;"",ISNUMBER(SEARCH(" ",D81))),"• اسم المستخدم فيه مسافة ","")&amp;IF(AND(E81&lt;&gt;"",OR(ISERROR(SEARCH("@",E81)),ISERROR(SEARCH(".",E81)))),"• البريد غير صحيح ","")&amp;IF(AND(F81&lt;&gt;"",OR(LEN(F81)&lt;&gt;10,LEFT(F81,2)&lt;&gt;"05",ISERROR(--F81))),"• الجوال ليس بصيغة 05XXXXXXXX ","")&amp;IF(AND(L81&lt;&gt;"",OR(LEN(L81)&lt;2,LEN(L81)&gt;6,ISERROR(--L81),ISNUMBER(SEARCH(".",L81)))),"• التحويلة يجب أن تكون 2-6 أرقام ","")&amp;IF(AND(L81&lt;&gt;"",COUNTIF($L$6:$L$205,L81)&gt;1),"• التحويلة مكررة ","")&amp;IF(AND(M81="نعم",L81=""),"• يجري مكالمات بدون تحويلة ","")&amp;IF(AND(K81&lt;&gt;"",COUNTIF($D$6:$D$205,K81)=0),"• المشرف غير موجود في الجدول ","")&amp;IF(AND(J81="موظف تحصيل",K81=""),"• موظف التحصيل يحتاج مشرفاً ","")&amp;IF(AND(O81&lt;&gt;"",P81=""),"• نوع الهدف بدون قيمة ",""))="","✔ مكتمل",IF(((B81="")+(C81="")+(D81="")+(E81="")+(F81="")+(H81="")+(I81="")+(J81="")+(M81="")+(Q81=""))&gt;0,"• حقول إلزامية ناقصة ","")&amp;IF(AND(D81&lt;&gt;"",COUNTIF($D$6:$D$205,D81)&gt;1),"• اسم المستخدم مكرر ","")&amp;IF(AND(D81&lt;&gt;"",ISNUMBER(SEARCH(" ",D81))),"• اسم المستخدم فيه مسافة ","")&amp;IF(AND(E81&lt;&gt;"",OR(ISERROR(SEARCH("@",E81)),ISERROR(SEARCH(".",E81)))),"• البريد غير صحيح ","")&amp;IF(AND(F81&lt;&gt;"",OR(LEN(F81)&lt;&gt;10,LEFT(F81,2)&lt;&gt;"05",ISERROR(--F81))),"• الجوال ليس بصيغة 05XXXXXXXX ","")&amp;IF(AND(L81&lt;&gt;"",OR(LEN(L81)&lt;2,LEN(L81)&gt;6,ISERROR(--L81),ISNUMBER(SEARCH(".",L81)))),"• التحويلة يجب أن تكون 2-6 أرقام ","")&amp;IF(AND(L81&lt;&gt;"",COUNTIF($L$6:$L$205,L81)&gt;1),"• التحويلة مكررة ","")&amp;IF(AND(M81="نعم",L81=""),"• يجري مكالمات بدون تحويلة ","")&amp;IF(AND(K81&lt;&gt;"",COUNTIF($D$6:$D$205,K81)=0),"• المشرف غير موجود في الجدول ","")&amp;IF(AND(J81="موظف تحصيل",K81=""),"• موظف التحصيل يحتاج مشرفاً ","")&amp;IF(AND(O81&lt;&gt;"",P81=""),"• نوع الهدف بدون قيمة ","")))</f>
        <v/>
      </c>
    </row>
    <row r="82">
      <c r="A82" s="17">
        <f>IF(COUNTA(B82:R82)=0,"",ROW()-5)</f>
        <v/>
      </c>
      <c r="B82" s="18" t="n"/>
      <c r="C82" s="18" t="n"/>
      <c r="D82" s="18" t="n"/>
      <c r="E82" s="18" t="n"/>
      <c r="F82" s="18" t="n"/>
      <c r="G82" s="18" t="n"/>
      <c r="H82" s="10" t="n"/>
      <c r="I82" s="10" t="n"/>
      <c r="J82" s="10" t="n"/>
      <c r="K82" s="10" t="n"/>
      <c r="L82" s="18" t="n"/>
      <c r="M82" s="10" t="n"/>
      <c r="N82" s="18" t="n"/>
      <c r="O82" s="10" t="n"/>
      <c r="P82" s="19" t="n"/>
      <c r="Q82" s="10" t="n"/>
      <c r="R82" s="18" t="n"/>
      <c r="S82" s="20">
        <f>IF(COUNTA(B82:R82)=0,"",IF((IF(((B82="")+(C82="")+(D82="")+(E82="")+(F82="")+(H82="")+(I82="")+(J82="")+(M82="")+(Q82=""))&gt;0,"• حقول إلزامية ناقصة ","")&amp;IF(AND(D82&lt;&gt;"",COUNTIF($D$6:$D$205,D82)&gt;1),"• اسم المستخدم مكرر ","")&amp;IF(AND(D82&lt;&gt;"",ISNUMBER(SEARCH(" ",D82))),"• اسم المستخدم فيه مسافة ","")&amp;IF(AND(E82&lt;&gt;"",OR(ISERROR(SEARCH("@",E82)),ISERROR(SEARCH(".",E82)))),"• البريد غير صحيح ","")&amp;IF(AND(F82&lt;&gt;"",OR(LEN(F82)&lt;&gt;10,LEFT(F82,2)&lt;&gt;"05",ISERROR(--F82))),"• الجوال ليس بصيغة 05XXXXXXXX ","")&amp;IF(AND(L82&lt;&gt;"",OR(LEN(L82)&lt;2,LEN(L82)&gt;6,ISERROR(--L82),ISNUMBER(SEARCH(".",L82)))),"• التحويلة يجب أن تكون 2-6 أرقام ","")&amp;IF(AND(L82&lt;&gt;"",COUNTIF($L$6:$L$205,L82)&gt;1),"• التحويلة مكررة ","")&amp;IF(AND(M82="نعم",L82=""),"• يجري مكالمات بدون تحويلة ","")&amp;IF(AND(K82&lt;&gt;"",COUNTIF($D$6:$D$205,K82)=0),"• المشرف غير موجود في الجدول ","")&amp;IF(AND(J82="موظف تحصيل",K82=""),"• موظف التحصيل يحتاج مشرفاً ","")&amp;IF(AND(O82&lt;&gt;"",P82=""),"• نوع الهدف بدون قيمة ",""))="","✔ مكتمل",IF(((B82="")+(C82="")+(D82="")+(E82="")+(F82="")+(H82="")+(I82="")+(J82="")+(M82="")+(Q82=""))&gt;0,"• حقول إلزامية ناقصة ","")&amp;IF(AND(D82&lt;&gt;"",COUNTIF($D$6:$D$205,D82)&gt;1),"• اسم المستخدم مكرر ","")&amp;IF(AND(D82&lt;&gt;"",ISNUMBER(SEARCH(" ",D82))),"• اسم المستخدم فيه مسافة ","")&amp;IF(AND(E82&lt;&gt;"",OR(ISERROR(SEARCH("@",E82)),ISERROR(SEARCH(".",E82)))),"• البريد غير صحيح ","")&amp;IF(AND(F82&lt;&gt;"",OR(LEN(F82)&lt;&gt;10,LEFT(F82,2)&lt;&gt;"05",ISERROR(--F82))),"• الجوال ليس بصيغة 05XXXXXXXX ","")&amp;IF(AND(L82&lt;&gt;"",OR(LEN(L82)&lt;2,LEN(L82)&gt;6,ISERROR(--L82),ISNUMBER(SEARCH(".",L82)))),"• التحويلة يجب أن تكون 2-6 أرقام ","")&amp;IF(AND(L82&lt;&gt;"",COUNTIF($L$6:$L$205,L82)&gt;1),"• التحويلة مكررة ","")&amp;IF(AND(M82="نعم",L82=""),"• يجري مكالمات بدون تحويلة ","")&amp;IF(AND(K82&lt;&gt;"",COUNTIF($D$6:$D$205,K82)=0),"• المشرف غير موجود في الجدول ","")&amp;IF(AND(J82="موظف تحصيل",K82=""),"• موظف التحصيل يحتاج مشرفاً ","")&amp;IF(AND(O82&lt;&gt;"",P82=""),"• نوع الهدف بدون قيمة ","")))</f>
        <v/>
      </c>
    </row>
    <row r="83">
      <c r="A83" s="17">
        <f>IF(COUNTA(B83:R83)=0,"",ROW()-5)</f>
        <v/>
      </c>
      <c r="B83" s="18" t="n"/>
      <c r="C83" s="18" t="n"/>
      <c r="D83" s="18" t="n"/>
      <c r="E83" s="18" t="n"/>
      <c r="F83" s="18" t="n"/>
      <c r="G83" s="18" t="n"/>
      <c r="H83" s="10" t="n"/>
      <c r="I83" s="10" t="n"/>
      <c r="J83" s="10" t="n"/>
      <c r="K83" s="10" t="n"/>
      <c r="L83" s="18" t="n"/>
      <c r="M83" s="10" t="n"/>
      <c r="N83" s="18" t="n"/>
      <c r="O83" s="10" t="n"/>
      <c r="P83" s="19" t="n"/>
      <c r="Q83" s="10" t="n"/>
      <c r="R83" s="18" t="n"/>
      <c r="S83" s="20">
        <f>IF(COUNTA(B83:R83)=0,"",IF((IF(((B83="")+(C83="")+(D83="")+(E83="")+(F83="")+(H83="")+(I83="")+(J83="")+(M83="")+(Q83=""))&gt;0,"• حقول إلزامية ناقصة ","")&amp;IF(AND(D83&lt;&gt;"",COUNTIF($D$6:$D$205,D83)&gt;1),"• اسم المستخدم مكرر ","")&amp;IF(AND(D83&lt;&gt;"",ISNUMBER(SEARCH(" ",D83))),"• اسم المستخدم فيه مسافة ","")&amp;IF(AND(E83&lt;&gt;"",OR(ISERROR(SEARCH("@",E83)),ISERROR(SEARCH(".",E83)))),"• البريد غير صحيح ","")&amp;IF(AND(F83&lt;&gt;"",OR(LEN(F83)&lt;&gt;10,LEFT(F83,2)&lt;&gt;"05",ISERROR(--F83))),"• الجوال ليس بصيغة 05XXXXXXXX ","")&amp;IF(AND(L83&lt;&gt;"",OR(LEN(L83)&lt;2,LEN(L83)&gt;6,ISERROR(--L83),ISNUMBER(SEARCH(".",L83)))),"• التحويلة يجب أن تكون 2-6 أرقام ","")&amp;IF(AND(L83&lt;&gt;"",COUNTIF($L$6:$L$205,L83)&gt;1),"• التحويلة مكررة ","")&amp;IF(AND(M83="نعم",L83=""),"• يجري مكالمات بدون تحويلة ","")&amp;IF(AND(K83&lt;&gt;"",COUNTIF($D$6:$D$205,K83)=0),"• المشرف غير موجود في الجدول ","")&amp;IF(AND(J83="موظف تحصيل",K83=""),"• موظف التحصيل يحتاج مشرفاً ","")&amp;IF(AND(O83&lt;&gt;"",P83=""),"• نوع الهدف بدون قيمة ",""))="","✔ مكتمل",IF(((B83="")+(C83="")+(D83="")+(E83="")+(F83="")+(H83="")+(I83="")+(J83="")+(M83="")+(Q83=""))&gt;0,"• حقول إلزامية ناقصة ","")&amp;IF(AND(D83&lt;&gt;"",COUNTIF($D$6:$D$205,D83)&gt;1),"• اسم المستخدم مكرر ","")&amp;IF(AND(D83&lt;&gt;"",ISNUMBER(SEARCH(" ",D83))),"• اسم المستخدم فيه مسافة ","")&amp;IF(AND(E83&lt;&gt;"",OR(ISERROR(SEARCH("@",E83)),ISERROR(SEARCH(".",E83)))),"• البريد غير صحيح ","")&amp;IF(AND(F83&lt;&gt;"",OR(LEN(F83)&lt;&gt;10,LEFT(F83,2)&lt;&gt;"05",ISERROR(--F83))),"• الجوال ليس بصيغة 05XXXXXXXX ","")&amp;IF(AND(L83&lt;&gt;"",OR(LEN(L83)&lt;2,LEN(L83)&gt;6,ISERROR(--L83),ISNUMBER(SEARCH(".",L83)))),"• التحويلة يجب أن تكون 2-6 أرقام ","")&amp;IF(AND(L83&lt;&gt;"",COUNTIF($L$6:$L$205,L83)&gt;1),"• التحويلة مكررة ","")&amp;IF(AND(M83="نعم",L83=""),"• يجري مكالمات بدون تحويلة ","")&amp;IF(AND(K83&lt;&gt;"",COUNTIF($D$6:$D$205,K83)=0),"• المشرف غير موجود في الجدول ","")&amp;IF(AND(J83="موظف تحصيل",K83=""),"• موظف التحصيل يحتاج مشرفاً ","")&amp;IF(AND(O83&lt;&gt;"",P83=""),"• نوع الهدف بدون قيمة ","")))</f>
        <v/>
      </c>
    </row>
    <row r="84">
      <c r="A84" s="17">
        <f>IF(COUNTA(B84:R84)=0,"",ROW()-5)</f>
        <v/>
      </c>
      <c r="B84" s="18" t="n"/>
      <c r="C84" s="18" t="n"/>
      <c r="D84" s="18" t="n"/>
      <c r="E84" s="18" t="n"/>
      <c r="F84" s="18" t="n"/>
      <c r="G84" s="18" t="n"/>
      <c r="H84" s="10" t="n"/>
      <c r="I84" s="10" t="n"/>
      <c r="J84" s="10" t="n"/>
      <c r="K84" s="10" t="n"/>
      <c r="L84" s="18" t="n"/>
      <c r="M84" s="10" t="n"/>
      <c r="N84" s="18" t="n"/>
      <c r="O84" s="10" t="n"/>
      <c r="P84" s="19" t="n"/>
      <c r="Q84" s="10" t="n"/>
      <c r="R84" s="18" t="n"/>
      <c r="S84" s="20">
        <f>IF(COUNTA(B84:R84)=0,"",IF((IF(((B84="")+(C84="")+(D84="")+(E84="")+(F84="")+(H84="")+(I84="")+(J84="")+(M84="")+(Q84=""))&gt;0,"• حقول إلزامية ناقصة ","")&amp;IF(AND(D84&lt;&gt;"",COUNTIF($D$6:$D$205,D84)&gt;1),"• اسم المستخدم مكرر ","")&amp;IF(AND(D84&lt;&gt;"",ISNUMBER(SEARCH(" ",D84))),"• اسم المستخدم فيه مسافة ","")&amp;IF(AND(E84&lt;&gt;"",OR(ISERROR(SEARCH("@",E84)),ISERROR(SEARCH(".",E84)))),"• البريد غير صحيح ","")&amp;IF(AND(F84&lt;&gt;"",OR(LEN(F84)&lt;&gt;10,LEFT(F84,2)&lt;&gt;"05",ISERROR(--F84))),"• الجوال ليس بصيغة 05XXXXXXXX ","")&amp;IF(AND(L84&lt;&gt;"",OR(LEN(L84)&lt;2,LEN(L84)&gt;6,ISERROR(--L84),ISNUMBER(SEARCH(".",L84)))),"• التحويلة يجب أن تكون 2-6 أرقام ","")&amp;IF(AND(L84&lt;&gt;"",COUNTIF($L$6:$L$205,L84)&gt;1),"• التحويلة مكررة ","")&amp;IF(AND(M84="نعم",L84=""),"• يجري مكالمات بدون تحويلة ","")&amp;IF(AND(K84&lt;&gt;"",COUNTIF($D$6:$D$205,K84)=0),"• المشرف غير موجود في الجدول ","")&amp;IF(AND(J84="موظف تحصيل",K84=""),"• موظف التحصيل يحتاج مشرفاً ","")&amp;IF(AND(O84&lt;&gt;"",P84=""),"• نوع الهدف بدون قيمة ",""))="","✔ مكتمل",IF(((B84="")+(C84="")+(D84="")+(E84="")+(F84="")+(H84="")+(I84="")+(J84="")+(M84="")+(Q84=""))&gt;0,"• حقول إلزامية ناقصة ","")&amp;IF(AND(D84&lt;&gt;"",COUNTIF($D$6:$D$205,D84)&gt;1),"• اسم المستخدم مكرر ","")&amp;IF(AND(D84&lt;&gt;"",ISNUMBER(SEARCH(" ",D84))),"• اسم المستخدم فيه مسافة ","")&amp;IF(AND(E84&lt;&gt;"",OR(ISERROR(SEARCH("@",E84)),ISERROR(SEARCH(".",E84)))),"• البريد غير صحيح ","")&amp;IF(AND(F84&lt;&gt;"",OR(LEN(F84)&lt;&gt;10,LEFT(F84,2)&lt;&gt;"05",ISERROR(--F84))),"• الجوال ليس بصيغة 05XXXXXXXX ","")&amp;IF(AND(L84&lt;&gt;"",OR(LEN(L84)&lt;2,LEN(L84)&gt;6,ISERROR(--L84),ISNUMBER(SEARCH(".",L84)))),"• التحويلة يجب أن تكون 2-6 أرقام ","")&amp;IF(AND(L84&lt;&gt;"",COUNTIF($L$6:$L$205,L84)&gt;1),"• التحويلة مكررة ","")&amp;IF(AND(M84="نعم",L84=""),"• يجري مكالمات بدون تحويلة ","")&amp;IF(AND(K84&lt;&gt;"",COUNTIF($D$6:$D$205,K84)=0),"• المشرف غير موجود في الجدول ","")&amp;IF(AND(J84="موظف تحصيل",K84=""),"• موظف التحصيل يحتاج مشرفاً ","")&amp;IF(AND(O84&lt;&gt;"",P84=""),"• نوع الهدف بدون قيمة ","")))</f>
        <v/>
      </c>
    </row>
    <row r="85">
      <c r="A85" s="17">
        <f>IF(COUNTA(B85:R85)=0,"",ROW()-5)</f>
        <v/>
      </c>
      <c r="B85" s="18" t="n"/>
      <c r="C85" s="18" t="n"/>
      <c r="D85" s="18" t="n"/>
      <c r="E85" s="18" t="n"/>
      <c r="F85" s="18" t="n"/>
      <c r="G85" s="18" t="n"/>
      <c r="H85" s="10" t="n"/>
      <c r="I85" s="10" t="n"/>
      <c r="J85" s="10" t="n"/>
      <c r="K85" s="10" t="n"/>
      <c r="L85" s="18" t="n"/>
      <c r="M85" s="10" t="n"/>
      <c r="N85" s="18" t="n"/>
      <c r="O85" s="10" t="n"/>
      <c r="P85" s="19" t="n"/>
      <c r="Q85" s="10" t="n"/>
      <c r="R85" s="18" t="n"/>
      <c r="S85" s="20">
        <f>IF(COUNTA(B85:R85)=0,"",IF((IF(((B85="")+(C85="")+(D85="")+(E85="")+(F85="")+(H85="")+(I85="")+(J85="")+(M85="")+(Q85=""))&gt;0,"• حقول إلزامية ناقصة ","")&amp;IF(AND(D85&lt;&gt;"",COUNTIF($D$6:$D$205,D85)&gt;1),"• اسم المستخدم مكرر ","")&amp;IF(AND(D85&lt;&gt;"",ISNUMBER(SEARCH(" ",D85))),"• اسم المستخدم فيه مسافة ","")&amp;IF(AND(E85&lt;&gt;"",OR(ISERROR(SEARCH("@",E85)),ISERROR(SEARCH(".",E85)))),"• البريد غير صحيح ","")&amp;IF(AND(F85&lt;&gt;"",OR(LEN(F85)&lt;&gt;10,LEFT(F85,2)&lt;&gt;"05",ISERROR(--F85))),"• الجوال ليس بصيغة 05XXXXXXXX ","")&amp;IF(AND(L85&lt;&gt;"",OR(LEN(L85)&lt;2,LEN(L85)&gt;6,ISERROR(--L85),ISNUMBER(SEARCH(".",L85)))),"• التحويلة يجب أن تكون 2-6 أرقام ","")&amp;IF(AND(L85&lt;&gt;"",COUNTIF($L$6:$L$205,L85)&gt;1),"• التحويلة مكررة ","")&amp;IF(AND(M85="نعم",L85=""),"• يجري مكالمات بدون تحويلة ","")&amp;IF(AND(K85&lt;&gt;"",COUNTIF($D$6:$D$205,K85)=0),"• المشرف غير موجود في الجدول ","")&amp;IF(AND(J85="موظف تحصيل",K85=""),"• موظف التحصيل يحتاج مشرفاً ","")&amp;IF(AND(O85&lt;&gt;"",P85=""),"• نوع الهدف بدون قيمة ",""))="","✔ مكتمل",IF(((B85="")+(C85="")+(D85="")+(E85="")+(F85="")+(H85="")+(I85="")+(J85="")+(M85="")+(Q85=""))&gt;0,"• حقول إلزامية ناقصة ","")&amp;IF(AND(D85&lt;&gt;"",COUNTIF($D$6:$D$205,D85)&gt;1),"• اسم المستخدم مكرر ","")&amp;IF(AND(D85&lt;&gt;"",ISNUMBER(SEARCH(" ",D85))),"• اسم المستخدم فيه مسافة ","")&amp;IF(AND(E85&lt;&gt;"",OR(ISERROR(SEARCH("@",E85)),ISERROR(SEARCH(".",E85)))),"• البريد غير صحيح ","")&amp;IF(AND(F85&lt;&gt;"",OR(LEN(F85)&lt;&gt;10,LEFT(F85,2)&lt;&gt;"05",ISERROR(--F85))),"• الجوال ليس بصيغة 05XXXXXXXX ","")&amp;IF(AND(L85&lt;&gt;"",OR(LEN(L85)&lt;2,LEN(L85)&gt;6,ISERROR(--L85),ISNUMBER(SEARCH(".",L85)))),"• التحويلة يجب أن تكون 2-6 أرقام ","")&amp;IF(AND(L85&lt;&gt;"",COUNTIF($L$6:$L$205,L85)&gt;1),"• التحويلة مكررة ","")&amp;IF(AND(M85="نعم",L85=""),"• يجري مكالمات بدون تحويلة ","")&amp;IF(AND(K85&lt;&gt;"",COUNTIF($D$6:$D$205,K85)=0),"• المشرف غير موجود في الجدول ","")&amp;IF(AND(J85="موظف تحصيل",K85=""),"• موظف التحصيل يحتاج مشرفاً ","")&amp;IF(AND(O85&lt;&gt;"",P85=""),"• نوع الهدف بدون قيمة ","")))</f>
        <v/>
      </c>
    </row>
    <row r="86">
      <c r="A86" s="17">
        <f>IF(COUNTA(B86:R86)=0,"",ROW()-5)</f>
        <v/>
      </c>
      <c r="B86" s="18" t="n"/>
      <c r="C86" s="18" t="n"/>
      <c r="D86" s="18" t="n"/>
      <c r="E86" s="18" t="n"/>
      <c r="F86" s="18" t="n"/>
      <c r="G86" s="18" t="n"/>
      <c r="H86" s="10" t="n"/>
      <c r="I86" s="10" t="n"/>
      <c r="J86" s="10" t="n"/>
      <c r="K86" s="10" t="n"/>
      <c r="L86" s="18" t="n"/>
      <c r="M86" s="10" t="n"/>
      <c r="N86" s="18" t="n"/>
      <c r="O86" s="10" t="n"/>
      <c r="P86" s="19" t="n"/>
      <c r="Q86" s="10" t="n"/>
      <c r="R86" s="18" t="n"/>
      <c r="S86" s="20">
        <f>IF(COUNTA(B86:R86)=0,"",IF((IF(((B86="")+(C86="")+(D86="")+(E86="")+(F86="")+(H86="")+(I86="")+(J86="")+(M86="")+(Q86=""))&gt;0,"• حقول إلزامية ناقصة ","")&amp;IF(AND(D86&lt;&gt;"",COUNTIF($D$6:$D$205,D86)&gt;1),"• اسم المستخدم مكرر ","")&amp;IF(AND(D86&lt;&gt;"",ISNUMBER(SEARCH(" ",D86))),"• اسم المستخدم فيه مسافة ","")&amp;IF(AND(E86&lt;&gt;"",OR(ISERROR(SEARCH("@",E86)),ISERROR(SEARCH(".",E86)))),"• البريد غير صحيح ","")&amp;IF(AND(F86&lt;&gt;"",OR(LEN(F86)&lt;&gt;10,LEFT(F86,2)&lt;&gt;"05",ISERROR(--F86))),"• الجوال ليس بصيغة 05XXXXXXXX ","")&amp;IF(AND(L86&lt;&gt;"",OR(LEN(L86)&lt;2,LEN(L86)&gt;6,ISERROR(--L86),ISNUMBER(SEARCH(".",L86)))),"• التحويلة يجب أن تكون 2-6 أرقام ","")&amp;IF(AND(L86&lt;&gt;"",COUNTIF($L$6:$L$205,L86)&gt;1),"• التحويلة مكررة ","")&amp;IF(AND(M86="نعم",L86=""),"• يجري مكالمات بدون تحويلة ","")&amp;IF(AND(K86&lt;&gt;"",COUNTIF($D$6:$D$205,K86)=0),"• المشرف غير موجود في الجدول ","")&amp;IF(AND(J86="موظف تحصيل",K86=""),"• موظف التحصيل يحتاج مشرفاً ","")&amp;IF(AND(O86&lt;&gt;"",P86=""),"• نوع الهدف بدون قيمة ",""))="","✔ مكتمل",IF(((B86="")+(C86="")+(D86="")+(E86="")+(F86="")+(H86="")+(I86="")+(J86="")+(M86="")+(Q86=""))&gt;0,"• حقول إلزامية ناقصة ","")&amp;IF(AND(D86&lt;&gt;"",COUNTIF($D$6:$D$205,D86)&gt;1),"• اسم المستخدم مكرر ","")&amp;IF(AND(D86&lt;&gt;"",ISNUMBER(SEARCH(" ",D86))),"• اسم المستخدم فيه مسافة ","")&amp;IF(AND(E86&lt;&gt;"",OR(ISERROR(SEARCH("@",E86)),ISERROR(SEARCH(".",E86)))),"• البريد غير صحيح ","")&amp;IF(AND(F86&lt;&gt;"",OR(LEN(F86)&lt;&gt;10,LEFT(F86,2)&lt;&gt;"05",ISERROR(--F86))),"• الجوال ليس بصيغة 05XXXXXXXX ","")&amp;IF(AND(L86&lt;&gt;"",OR(LEN(L86)&lt;2,LEN(L86)&gt;6,ISERROR(--L86),ISNUMBER(SEARCH(".",L86)))),"• التحويلة يجب أن تكون 2-6 أرقام ","")&amp;IF(AND(L86&lt;&gt;"",COUNTIF($L$6:$L$205,L86)&gt;1),"• التحويلة مكررة ","")&amp;IF(AND(M86="نعم",L86=""),"• يجري مكالمات بدون تحويلة ","")&amp;IF(AND(K86&lt;&gt;"",COUNTIF($D$6:$D$205,K86)=0),"• المشرف غير موجود في الجدول ","")&amp;IF(AND(J86="موظف تحصيل",K86=""),"• موظف التحصيل يحتاج مشرفاً ","")&amp;IF(AND(O86&lt;&gt;"",P86=""),"• نوع الهدف بدون قيمة ","")))</f>
        <v/>
      </c>
    </row>
    <row r="87">
      <c r="A87" s="17">
        <f>IF(COUNTA(B87:R87)=0,"",ROW()-5)</f>
        <v/>
      </c>
      <c r="B87" s="18" t="n"/>
      <c r="C87" s="18" t="n"/>
      <c r="D87" s="18" t="n"/>
      <c r="E87" s="18" t="n"/>
      <c r="F87" s="18" t="n"/>
      <c r="G87" s="18" t="n"/>
      <c r="H87" s="10" t="n"/>
      <c r="I87" s="10" t="n"/>
      <c r="J87" s="10" t="n"/>
      <c r="K87" s="10" t="n"/>
      <c r="L87" s="18" t="n"/>
      <c r="M87" s="10" t="n"/>
      <c r="N87" s="18" t="n"/>
      <c r="O87" s="10" t="n"/>
      <c r="P87" s="19" t="n"/>
      <c r="Q87" s="10" t="n"/>
      <c r="R87" s="18" t="n"/>
      <c r="S87" s="20">
        <f>IF(COUNTA(B87:R87)=0,"",IF((IF(((B87="")+(C87="")+(D87="")+(E87="")+(F87="")+(H87="")+(I87="")+(J87="")+(M87="")+(Q87=""))&gt;0,"• حقول إلزامية ناقصة ","")&amp;IF(AND(D87&lt;&gt;"",COUNTIF($D$6:$D$205,D87)&gt;1),"• اسم المستخدم مكرر ","")&amp;IF(AND(D87&lt;&gt;"",ISNUMBER(SEARCH(" ",D87))),"• اسم المستخدم فيه مسافة ","")&amp;IF(AND(E87&lt;&gt;"",OR(ISERROR(SEARCH("@",E87)),ISERROR(SEARCH(".",E87)))),"• البريد غير صحيح ","")&amp;IF(AND(F87&lt;&gt;"",OR(LEN(F87)&lt;&gt;10,LEFT(F87,2)&lt;&gt;"05",ISERROR(--F87))),"• الجوال ليس بصيغة 05XXXXXXXX ","")&amp;IF(AND(L87&lt;&gt;"",OR(LEN(L87)&lt;2,LEN(L87)&gt;6,ISERROR(--L87),ISNUMBER(SEARCH(".",L87)))),"• التحويلة يجب أن تكون 2-6 أرقام ","")&amp;IF(AND(L87&lt;&gt;"",COUNTIF($L$6:$L$205,L87)&gt;1),"• التحويلة مكررة ","")&amp;IF(AND(M87="نعم",L87=""),"• يجري مكالمات بدون تحويلة ","")&amp;IF(AND(K87&lt;&gt;"",COUNTIF($D$6:$D$205,K87)=0),"• المشرف غير موجود في الجدول ","")&amp;IF(AND(J87="موظف تحصيل",K87=""),"• موظف التحصيل يحتاج مشرفاً ","")&amp;IF(AND(O87&lt;&gt;"",P87=""),"• نوع الهدف بدون قيمة ",""))="","✔ مكتمل",IF(((B87="")+(C87="")+(D87="")+(E87="")+(F87="")+(H87="")+(I87="")+(J87="")+(M87="")+(Q87=""))&gt;0,"• حقول إلزامية ناقصة ","")&amp;IF(AND(D87&lt;&gt;"",COUNTIF($D$6:$D$205,D87)&gt;1),"• اسم المستخدم مكرر ","")&amp;IF(AND(D87&lt;&gt;"",ISNUMBER(SEARCH(" ",D87))),"• اسم المستخدم فيه مسافة ","")&amp;IF(AND(E87&lt;&gt;"",OR(ISERROR(SEARCH("@",E87)),ISERROR(SEARCH(".",E87)))),"• البريد غير صحيح ","")&amp;IF(AND(F87&lt;&gt;"",OR(LEN(F87)&lt;&gt;10,LEFT(F87,2)&lt;&gt;"05",ISERROR(--F87))),"• الجوال ليس بصيغة 05XXXXXXXX ","")&amp;IF(AND(L87&lt;&gt;"",OR(LEN(L87)&lt;2,LEN(L87)&gt;6,ISERROR(--L87),ISNUMBER(SEARCH(".",L87)))),"• التحويلة يجب أن تكون 2-6 أرقام ","")&amp;IF(AND(L87&lt;&gt;"",COUNTIF($L$6:$L$205,L87)&gt;1),"• التحويلة مكررة ","")&amp;IF(AND(M87="نعم",L87=""),"• يجري مكالمات بدون تحويلة ","")&amp;IF(AND(K87&lt;&gt;"",COUNTIF($D$6:$D$205,K87)=0),"• المشرف غير موجود في الجدول ","")&amp;IF(AND(J87="موظف تحصيل",K87=""),"• موظف التحصيل يحتاج مشرفاً ","")&amp;IF(AND(O87&lt;&gt;"",P87=""),"• نوع الهدف بدون قيمة ","")))</f>
        <v/>
      </c>
    </row>
    <row r="88">
      <c r="A88" s="17">
        <f>IF(COUNTA(B88:R88)=0,"",ROW()-5)</f>
        <v/>
      </c>
      <c r="B88" s="18" t="n"/>
      <c r="C88" s="18" t="n"/>
      <c r="D88" s="18" t="n"/>
      <c r="E88" s="18" t="n"/>
      <c r="F88" s="18" t="n"/>
      <c r="G88" s="18" t="n"/>
      <c r="H88" s="10" t="n"/>
      <c r="I88" s="10" t="n"/>
      <c r="J88" s="10" t="n"/>
      <c r="K88" s="10" t="n"/>
      <c r="L88" s="18" t="n"/>
      <c r="M88" s="10" t="n"/>
      <c r="N88" s="18" t="n"/>
      <c r="O88" s="10" t="n"/>
      <c r="P88" s="19" t="n"/>
      <c r="Q88" s="10" t="n"/>
      <c r="R88" s="18" t="n"/>
      <c r="S88" s="20">
        <f>IF(COUNTA(B88:R88)=0,"",IF((IF(((B88="")+(C88="")+(D88="")+(E88="")+(F88="")+(H88="")+(I88="")+(J88="")+(M88="")+(Q88=""))&gt;0,"• حقول إلزامية ناقصة ","")&amp;IF(AND(D88&lt;&gt;"",COUNTIF($D$6:$D$205,D88)&gt;1),"• اسم المستخدم مكرر ","")&amp;IF(AND(D88&lt;&gt;"",ISNUMBER(SEARCH(" ",D88))),"• اسم المستخدم فيه مسافة ","")&amp;IF(AND(E88&lt;&gt;"",OR(ISERROR(SEARCH("@",E88)),ISERROR(SEARCH(".",E88)))),"• البريد غير صحيح ","")&amp;IF(AND(F88&lt;&gt;"",OR(LEN(F88)&lt;&gt;10,LEFT(F88,2)&lt;&gt;"05",ISERROR(--F88))),"• الجوال ليس بصيغة 05XXXXXXXX ","")&amp;IF(AND(L88&lt;&gt;"",OR(LEN(L88)&lt;2,LEN(L88)&gt;6,ISERROR(--L88),ISNUMBER(SEARCH(".",L88)))),"• التحويلة يجب أن تكون 2-6 أرقام ","")&amp;IF(AND(L88&lt;&gt;"",COUNTIF($L$6:$L$205,L88)&gt;1),"• التحويلة مكررة ","")&amp;IF(AND(M88="نعم",L88=""),"• يجري مكالمات بدون تحويلة ","")&amp;IF(AND(K88&lt;&gt;"",COUNTIF($D$6:$D$205,K88)=0),"• المشرف غير موجود في الجدول ","")&amp;IF(AND(J88="موظف تحصيل",K88=""),"• موظف التحصيل يحتاج مشرفاً ","")&amp;IF(AND(O88&lt;&gt;"",P88=""),"• نوع الهدف بدون قيمة ",""))="","✔ مكتمل",IF(((B88="")+(C88="")+(D88="")+(E88="")+(F88="")+(H88="")+(I88="")+(J88="")+(M88="")+(Q88=""))&gt;0,"• حقول إلزامية ناقصة ","")&amp;IF(AND(D88&lt;&gt;"",COUNTIF($D$6:$D$205,D88)&gt;1),"• اسم المستخدم مكرر ","")&amp;IF(AND(D88&lt;&gt;"",ISNUMBER(SEARCH(" ",D88))),"• اسم المستخدم فيه مسافة ","")&amp;IF(AND(E88&lt;&gt;"",OR(ISERROR(SEARCH("@",E88)),ISERROR(SEARCH(".",E88)))),"• البريد غير صحيح ","")&amp;IF(AND(F88&lt;&gt;"",OR(LEN(F88)&lt;&gt;10,LEFT(F88,2)&lt;&gt;"05",ISERROR(--F88))),"• الجوال ليس بصيغة 05XXXXXXXX ","")&amp;IF(AND(L88&lt;&gt;"",OR(LEN(L88)&lt;2,LEN(L88)&gt;6,ISERROR(--L88),ISNUMBER(SEARCH(".",L88)))),"• التحويلة يجب أن تكون 2-6 أرقام ","")&amp;IF(AND(L88&lt;&gt;"",COUNTIF($L$6:$L$205,L88)&gt;1),"• التحويلة مكررة ","")&amp;IF(AND(M88="نعم",L88=""),"• يجري مكالمات بدون تحويلة ","")&amp;IF(AND(K88&lt;&gt;"",COUNTIF($D$6:$D$205,K88)=0),"• المشرف غير موجود في الجدول ","")&amp;IF(AND(J88="موظف تحصيل",K88=""),"• موظف التحصيل يحتاج مشرفاً ","")&amp;IF(AND(O88&lt;&gt;"",P88=""),"• نوع الهدف بدون قيمة ","")))</f>
        <v/>
      </c>
    </row>
    <row r="89">
      <c r="A89" s="17">
        <f>IF(COUNTA(B89:R89)=0,"",ROW()-5)</f>
        <v/>
      </c>
      <c r="B89" s="18" t="n"/>
      <c r="C89" s="18" t="n"/>
      <c r="D89" s="18" t="n"/>
      <c r="E89" s="18" t="n"/>
      <c r="F89" s="18" t="n"/>
      <c r="G89" s="18" t="n"/>
      <c r="H89" s="10" t="n"/>
      <c r="I89" s="10" t="n"/>
      <c r="J89" s="10" t="n"/>
      <c r="K89" s="10" t="n"/>
      <c r="L89" s="18" t="n"/>
      <c r="M89" s="10" t="n"/>
      <c r="N89" s="18" t="n"/>
      <c r="O89" s="10" t="n"/>
      <c r="P89" s="19" t="n"/>
      <c r="Q89" s="10" t="n"/>
      <c r="R89" s="18" t="n"/>
      <c r="S89" s="20">
        <f>IF(COUNTA(B89:R89)=0,"",IF((IF(((B89="")+(C89="")+(D89="")+(E89="")+(F89="")+(H89="")+(I89="")+(J89="")+(M89="")+(Q89=""))&gt;0,"• حقول إلزامية ناقصة ","")&amp;IF(AND(D89&lt;&gt;"",COUNTIF($D$6:$D$205,D89)&gt;1),"• اسم المستخدم مكرر ","")&amp;IF(AND(D89&lt;&gt;"",ISNUMBER(SEARCH(" ",D89))),"• اسم المستخدم فيه مسافة ","")&amp;IF(AND(E89&lt;&gt;"",OR(ISERROR(SEARCH("@",E89)),ISERROR(SEARCH(".",E89)))),"• البريد غير صحيح ","")&amp;IF(AND(F89&lt;&gt;"",OR(LEN(F89)&lt;&gt;10,LEFT(F89,2)&lt;&gt;"05",ISERROR(--F89))),"• الجوال ليس بصيغة 05XXXXXXXX ","")&amp;IF(AND(L89&lt;&gt;"",OR(LEN(L89)&lt;2,LEN(L89)&gt;6,ISERROR(--L89),ISNUMBER(SEARCH(".",L89)))),"• التحويلة يجب أن تكون 2-6 أرقام ","")&amp;IF(AND(L89&lt;&gt;"",COUNTIF($L$6:$L$205,L89)&gt;1),"• التحويلة مكررة ","")&amp;IF(AND(M89="نعم",L89=""),"• يجري مكالمات بدون تحويلة ","")&amp;IF(AND(K89&lt;&gt;"",COUNTIF($D$6:$D$205,K89)=0),"• المشرف غير موجود في الجدول ","")&amp;IF(AND(J89="موظف تحصيل",K89=""),"• موظف التحصيل يحتاج مشرفاً ","")&amp;IF(AND(O89&lt;&gt;"",P89=""),"• نوع الهدف بدون قيمة ",""))="","✔ مكتمل",IF(((B89="")+(C89="")+(D89="")+(E89="")+(F89="")+(H89="")+(I89="")+(J89="")+(M89="")+(Q89=""))&gt;0,"• حقول إلزامية ناقصة ","")&amp;IF(AND(D89&lt;&gt;"",COUNTIF($D$6:$D$205,D89)&gt;1),"• اسم المستخدم مكرر ","")&amp;IF(AND(D89&lt;&gt;"",ISNUMBER(SEARCH(" ",D89))),"• اسم المستخدم فيه مسافة ","")&amp;IF(AND(E89&lt;&gt;"",OR(ISERROR(SEARCH("@",E89)),ISERROR(SEARCH(".",E89)))),"• البريد غير صحيح ","")&amp;IF(AND(F89&lt;&gt;"",OR(LEN(F89)&lt;&gt;10,LEFT(F89,2)&lt;&gt;"05",ISERROR(--F89))),"• الجوال ليس بصيغة 05XXXXXXXX ","")&amp;IF(AND(L89&lt;&gt;"",OR(LEN(L89)&lt;2,LEN(L89)&gt;6,ISERROR(--L89),ISNUMBER(SEARCH(".",L89)))),"• التحويلة يجب أن تكون 2-6 أرقام ","")&amp;IF(AND(L89&lt;&gt;"",COUNTIF($L$6:$L$205,L89)&gt;1),"• التحويلة مكررة ","")&amp;IF(AND(M89="نعم",L89=""),"• يجري مكالمات بدون تحويلة ","")&amp;IF(AND(K89&lt;&gt;"",COUNTIF($D$6:$D$205,K89)=0),"• المشرف غير موجود في الجدول ","")&amp;IF(AND(J89="موظف تحصيل",K89=""),"• موظف التحصيل يحتاج مشرفاً ","")&amp;IF(AND(O89&lt;&gt;"",P89=""),"• نوع الهدف بدون قيمة ","")))</f>
        <v/>
      </c>
    </row>
    <row r="90">
      <c r="A90" s="17">
        <f>IF(COUNTA(B90:R90)=0,"",ROW()-5)</f>
        <v/>
      </c>
      <c r="B90" s="18" t="n"/>
      <c r="C90" s="18" t="n"/>
      <c r="D90" s="18" t="n"/>
      <c r="E90" s="18" t="n"/>
      <c r="F90" s="18" t="n"/>
      <c r="G90" s="18" t="n"/>
      <c r="H90" s="10" t="n"/>
      <c r="I90" s="10" t="n"/>
      <c r="J90" s="10" t="n"/>
      <c r="K90" s="10" t="n"/>
      <c r="L90" s="18" t="n"/>
      <c r="M90" s="10" t="n"/>
      <c r="N90" s="18" t="n"/>
      <c r="O90" s="10" t="n"/>
      <c r="P90" s="19" t="n"/>
      <c r="Q90" s="10" t="n"/>
      <c r="R90" s="18" t="n"/>
      <c r="S90" s="20">
        <f>IF(COUNTA(B90:R90)=0,"",IF((IF(((B90="")+(C90="")+(D90="")+(E90="")+(F90="")+(H90="")+(I90="")+(J90="")+(M90="")+(Q90=""))&gt;0,"• حقول إلزامية ناقصة ","")&amp;IF(AND(D90&lt;&gt;"",COUNTIF($D$6:$D$205,D90)&gt;1),"• اسم المستخدم مكرر ","")&amp;IF(AND(D90&lt;&gt;"",ISNUMBER(SEARCH(" ",D90))),"• اسم المستخدم فيه مسافة ","")&amp;IF(AND(E90&lt;&gt;"",OR(ISERROR(SEARCH("@",E90)),ISERROR(SEARCH(".",E90)))),"• البريد غير صحيح ","")&amp;IF(AND(F90&lt;&gt;"",OR(LEN(F90)&lt;&gt;10,LEFT(F90,2)&lt;&gt;"05",ISERROR(--F90))),"• الجوال ليس بصيغة 05XXXXXXXX ","")&amp;IF(AND(L90&lt;&gt;"",OR(LEN(L90)&lt;2,LEN(L90)&gt;6,ISERROR(--L90),ISNUMBER(SEARCH(".",L90)))),"• التحويلة يجب أن تكون 2-6 أرقام ","")&amp;IF(AND(L90&lt;&gt;"",COUNTIF($L$6:$L$205,L90)&gt;1),"• التحويلة مكررة ","")&amp;IF(AND(M90="نعم",L90=""),"• يجري مكالمات بدون تحويلة ","")&amp;IF(AND(K90&lt;&gt;"",COUNTIF($D$6:$D$205,K90)=0),"• المشرف غير موجود في الجدول ","")&amp;IF(AND(J90="موظف تحصيل",K90=""),"• موظف التحصيل يحتاج مشرفاً ","")&amp;IF(AND(O90&lt;&gt;"",P90=""),"• نوع الهدف بدون قيمة ",""))="","✔ مكتمل",IF(((B90="")+(C90="")+(D90="")+(E90="")+(F90="")+(H90="")+(I90="")+(J90="")+(M90="")+(Q90=""))&gt;0,"• حقول إلزامية ناقصة ","")&amp;IF(AND(D90&lt;&gt;"",COUNTIF($D$6:$D$205,D90)&gt;1),"• اسم المستخدم مكرر ","")&amp;IF(AND(D90&lt;&gt;"",ISNUMBER(SEARCH(" ",D90))),"• اسم المستخدم فيه مسافة ","")&amp;IF(AND(E90&lt;&gt;"",OR(ISERROR(SEARCH("@",E90)),ISERROR(SEARCH(".",E90)))),"• البريد غير صحيح ","")&amp;IF(AND(F90&lt;&gt;"",OR(LEN(F90)&lt;&gt;10,LEFT(F90,2)&lt;&gt;"05",ISERROR(--F90))),"• الجوال ليس بصيغة 05XXXXXXXX ","")&amp;IF(AND(L90&lt;&gt;"",OR(LEN(L90)&lt;2,LEN(L90)&gt;6,ISERROR(--L90),ISNUMBER(SEARCH(".",L90)))),"• التحويلة يجب أن تكون 2-6 أرقام ","")&amp;IF(AND(L90&lt;&gt;"",COUNTIF($L$6:$L$205,L90)&gt;1),"• التحويلة مكررة ","")&amp;IF(AND(M90="نعم",L90=""),"• يجري مكالمات بدون تحويلة ","")&amp;IF(AND(K90&lt;&gt;"",COUNTIF($D$6:$D$205,K90)=0),"• المشرف غير موجود في الجدول ","")&amp;IF(AND(J90="موظف تحصيل",K90=""),"• موظف التحصيل يحتاج مشرفاً ","")&amp;IF(AND(O90&lt;&gt;"",P90=""),"• نوع الهدف بدون قيمة ","")))</f>
        <v/>
      </c>
    </row>
    <row r="91">
      <c r="A91" s="17">
        <f>IF(COUNTA(B91:R91)=0,"",ROW()-5)</f>
        <v/>
      </c>
      <c r="B91" s="18" t="n"/>
      <c r="C91" s="18" t="n"/>
      <c r="D91" s="18" t="n"/>
      <c r="E91" s="18" t="n"/>
      <c r="F91" s="18" t="n"/>
      <c r="G91" s="18" t="n"/>
      <c r="H91" s="10" t="n"/>
      <c r="I91" s="10" t="n"/>
      <c r="J91" s="10" t="n"/>
      <c r="K91" s="10" t="n"/>
      <c r="L91" s="18" t="n"/>
      <c r="M91" s="10" t="n"/>
      <c r="N91" s="18" t="n"/>
      <c r="O91" s="10" t="n"/>
      <c r="P91" s="19" t="n"/>
      <c r="Q91" s="10" t="n"/>
      <c r="R91" s="18" t="n"/>
      <c r="S91" s="20">
        <f>IF(COUNTA(B91:R91)=0,"",IF((IF(((B91="")+(C91="")+(D91="")+(E91="")+(F91="")+(H91="")+(I91="")+(J91="")+(M91="")+(Q91=""))&gt;0,"• حقول إلزامية ناقصة ","")&amp;IF(AND(D91&lt;&gt;"",COUNTIF($D$6:$D$205,D91)&gt;1),"• اسم المستخدم مكرر ","")&amp;IF(AND(D91&lt;&gt;"",ISNUMBER(SEARCH(" ",D91))),"• اسم المستخدم فيه مسافة ","")&amp;IF(AND(E91&lt;&gt;"",OR(ISERROR(SEARCH("@",E91)),ISERROR(SEARCH(".",E91)))),"• البريد غير صحيح ","")&amp;IF(AND(F91&lt;&gt;"",OR(LEN(F91)&lt;&gt;10,LEFT(F91,2)&lt;&gt;"05",ISERROR(--F91))),"• الجوال ليس بصيغة 05XXXXXXXX ","")&amp;IF(AND(L91&lt;&gt;"",OR(LEN(L91)&lt;2,LEN(L91)&gt;6,ISERROR(--L91),ISNUMBER(SEARCH(".",L91)))),"• التحويلة يجب أن تكون 2-6 أرقام ","")&amp;IF(AND(L91&lt;&gt;"",COUNTIF($L$6:$L$205,L91)&gt;1),"• التحويلة مكررة ","")&amp;IF(AND(M91="نعم",L91=""),"• يجري مكالمات بدون تحويلة ","")&amp;IF(AND(K91&lt;&gt;"",COUNTIF($D$6:$D$205,K91)=0),"• المشرف غير موجود في الجدول ","")&amp;IF(AND(J91="موظف تحصيل",K91=""),"• موظف التحصيل يحتاج مشرفاً ","")&amp;IF(AND(O91&lt;&gt;"",P91=""),"• نوع الهدف بدون قيمة ",""))="","✔ مكتمل",IF(((B91="")+(C91="")+(D91="")+(E91="")+(F91="")+(H91="")+(I91="")+(J91="")+(M91="")+(Q91=""))&gt;0,"• حقول إلزامية ناقصة ","")&amp;IF(AND(D91&lt;&gt;"",COUNTIF($D$6:$D$205,D91)&gt;1),"• اسم المستخدم مكرر ","")&amp;IF(AND(D91&lt;&gt;"",ISNUMBER(SEARCH(" ",D91))),"• اسم المستخدم فيه مسافة ","")&amp;IF(AND(E91&lt;&gt;"",OR(ISERROR(SEARCH("@",E91)),ISERROR(SEARCH(".",E91)))),"• البريد غير صحيح ","")&amp;IF(AND(F91&lt;&gt;"",OR(LEN(F91)&lt;&gt;10,LEFT(F91,2)&lt;&gt;"05",ISERROR(--F91))),"• الجوال ليس بصيغة 05XXXXXXXX ","")&amp;IF(AND(L91&lt;&gt;"",OR(LEN(L91)&lt;2,LEN(L91)&gt;6,ISERROR(--L91),ISNUMBER(SEARCH(".",L91)))),"• التحويلة يجب أن تكون 2-6 أرقام ","")&amp;IF(AND(L91&lt;&gt;"",COUNTIF($L$6:$L$205,L91)&gt;1),"• التحويلة مكررة ","")&amp;IF(AND(M91="نعم",L91=""),"• يجري مكالمات بدون تحويلة ","")&amp;IF(AND(K91&lt;&gt;"",COUNTIF($D$6:$D$205,K91)=0),"• المشرف غير موجود في الجدول ","")&amp;IF(AND(J91="موظف تحصيل",K91=""),"• موظف التحصيل يحتاج مشرفاً ","")&amp;IF(AND(O91&lt;&gt;"",P91=""),"• نوع الهدف بدون قيمة ","")))</f>
        <v/>
      </c>
    </row>
    <row r="92">
      <c r="A92" s="17">
        <f>IF(COUNTA(B92:R92)=0,"",ROW()-5)</f>
        <v/>
      </c>
      <c r="B92" s="18" t="n"/>
      <c r="C92" s="18" t="n"/>
      <c r="D92" s="18" t="n"/>
      <c r="E92" s="18" t="n"/>
      <c r="F92" s="18" t="n"/>
      <c r="G92" s="18" t="n"/>
      <c r="H92" s="10" t="n"/>
      <c r="I92" s="10" t="n"/>
      <c r="J92" s="10" t="n"/>
      <c r="K92" s="10" t="n"/>
      <c r="L92" s="18" t="n"/>
      <c r="M92" s="10" t="n"/>
      <c r="N92" s="18" t="n"/>
      <c r="O92" s="10" t="n"/>
      <c r="P92" s="19" t="n"/>
      <c r="Q92" s="10" t="n"/>
      <c r="R92" s="18" t="n"/>
      <c r="S92" s="20">
        <f>IF(COUNTA(B92:R92)=0,"",IF((IF(((B92="")+(C92="")+(D92="")+(E92="")+(F92="")+(H92="")+(I92="")+(J92="")+(M92="")+(Q92=""))&gt;0,"• حقول إلزامية ناقصة ","")&amp;IF(AND(D92&lt;&gt;"",COUNTIF($D$6:$D$205,D92)&gt;1),"• اسم المستخدم مكرر ","")&amp;IF(AND(D92&lt;&gt;"",ISNUMBER(SEARCH(" ",D92))),"• اسم المستخدم فيه مسافة ","")&amp;IF(AND(E92&lt;&gt;"",OR(ISERROR(SEARCH("@",E92)),ISERROR(SEARCH(".",E92)))),"• البريد غير صحيح ","")&amp;IF(AND(F92&lt;&gt;"",OR(LEN(F92)&lt;&gt;10,LEFT(F92,2)&lt;&gt;"05",ISERROR(--F92))),"• الجوال ليس بصيغة 05XXXXXXXX ","")&amp;IF(AND(L92&lt;&gt;"",OR(LEN(L92)&lt;2,LEN(L92)&gt;6,ISERROR(--L92),ISNUMBER(SEARCH(".",L92)))),"• التحويلة يجب أن تكون 2-6 أرقام ","")&amp;IF(AND(L92&lt;&gt;"",COUNTIF($L$6:$L$205,L92)&gt;1),"• التحويلة مكررة ","")&amp;IF(AND(M92="نعم",L92=""),"• يجري مكالمات بدون تحويلة ","")&amp;IF(AND(K92&lt;&gt;"",COUNTIF($D$6:$D$205,K92)=0),"• المشرف غير موجود في الجدول ","")&amp;IF(AND(J92="موظف تحصيل",K92=""),"• موظف التحصيل يحتاج مشرفاً ","")&amp;IF(AND(O92&lt;&gt;"",P92=""),"• نوع الهدف بدون قيمة ",""))="","✔ مكتمل",IF(((B92="")+(C92="")+(D92="")+(E92="")+(F92="")+(H92="")+(I92="")+(J92="")+(M92="")+(Q92=""))&gt;0,"• حقول إلزامية ناقصة ","")&amp;IF(AND(D92&lt;&gt;"",COUNTIF($D$6:$D$205,D92)&gt;1),"• اسم المستخدم مكرر ","")&amp;IF(AND(D92&lt;&gt;"",ISNUMBER(SEARCH(" ",D92))),"• اسم المستخدم فيه مسافة ","")&amp;IF(AND(E92&lt;&gt;"",OR(ISERROR(SEARCH("@",E92)),ISERROR(SEARCH(".",E92)))),"• البريد غير صحيح ","")&amp;IF(AND(F92&lt;&gt;"",OR(LEN(F92)&lt;&gt;10,LEFT(F92,2)&lt;&gt;"05",ISERROR(--F92))),"• الجوال ليس بصيغة 05XXXXXXXX ","")&amp;IF(AND(L92&lt;&gt;"",OR(LEN(L92)&lt;2,LEN(L92)&gt;6,ISERROR(--L92),ISNUMBER(SEARCH(".",L92)))),"• التحويلة يجب أن تكون 2-6 أرقام ","")&amp;IF(AND(L92&lt;&gt;"",COUNTIF($L$6:$L$205,L92)&gt;1),"• التحويلة مكررة ","")&amp;IF(AND(M92="نعم",L92=""),"• يجري مكالمات بدون تحويلة ","")&amp;IF(AND(K92&lt;&gt;"",COUNTIF($D$6:$D$205,K92)=0),"• المشرف غير موجود في الجدول ","")&amp;IF(AND(J92="موظف تحصيل",K92=""),"• موظف التحصيل يحتاج مشرفاً ","")&amp;IF(AND(O92&lt;&gt;"",P92=""),"• نوع الهدف بدون قيمة ","")))</f>
        <v/>
      </c>
    </row>
    <row r="93">
      <c r="A93" s="17">
        <f>IF(COUNTA(B93:R93)=0,"",ROW()-5)</f>
        <v/>
      </c>
      <c r="B93" s="18" t="n"/>
      <c r="C93" s="18" t="n"/>
      <c r="D93" s="18" t="n"/>
      <c r="E93" s="18" t="n"/>
      <c r="F93" s="18" t="n"/>
      <c r="G93" s="18" t="n"/>
      <c r="H93" s="10" t="n"/>
      <c r="I93" s="10" t="n"/>
      <c r="J93" s="10" t="n"/>
      <c r="K93" s="10" t="n"/>
      <c r="L93" s="18" t="n"/>
      <c r="M93" s="10" t="n"/>
      <c r="N93" s="18" t="n"/>
      <c r="O93" s="10" t="n"/>
      <c r="P93" s="19" t="n"/>
      <c r="Q93" s="10" t="n"/>
      <c r="R93" s="18" t="n"/>
      <c r="S93" s="20">
        <f>IF(COUNTA(B93:R93)=0,"",IF((IF(((B93="")+(C93="")+(D93="")+(E93="")+(F93="")+(H93="")+(I93="")+(J93="")+(M93="")+(Q93=""))&gt;0,"• حقول إلزامية ناقصة ","")&amp;IF(AND(D93&lt;&gt;"",COUNTIF($D$6:$D$205,D93)&gt;1),"• اسم المستخدم مكرر ","")&amp;IF(AND(D93&lt;&gt;"",ISNUMBER(SEARCH(" ",D93))),"• اسم المستخدم فيه مسافة ","")&amp;IF(AND(E93&lt;&gt;"",OR(ISERROR(SEARCH("@",E93)),ISERROR(SEARCH(".",E93)))),"• البريد غير صحيح ","")&amp;IF(AND(F93&lt;&gt;"",OR(LEN(F93)&lt;&gt;10,LEFT(F93,2)&lt;&gt;"05",ISERROR(--F93))),"• الجوال ليس بصيغة 05XXXXXXXX ","")&amp;IF(AND(L93&lt;&gt;"",OR(LEN(L93)&lt;2,LEN(L93)&gt;6,ISERROR(--L93),ISNUMBER(SEARCH(".",L93)))),"• التحويلة يجب أن تكون 2-6 أرقام ","")&amp;IF(AND(L93&lt;&gt;"",COUNTIF($L$6:$L$205,L93)&gt;1),"• التحويلة مكررة ","")&amp;IF(AND(M93="نعم",L93=""),"• يجري مكالمات بدون تحويلة ","")&amp;IF(AND(K93&lt;&gt;"",COUNTIF($D$6:$D$205,K93)=0),"• المشرف غير موجود في الجدول ","")&amp;IF(AND(J93="موظف تحصيل",K93=""),"• موظف التحصيل يحتاج مشرفاً ","")&amp;IF(AND(O93&lt;&gt;"",P93=""),"• نوع الهدف بدون قيمة ",""))="","✔ مكتمل",IF(((B93="")+(C93="")+(D93="")+(E93="")+(F93="")+(H93="")+(I93="")+(J93="")+(M93="")+(Q93=""))&gt;0,"• حقول إلزامية ناقصة ","")&amp;IF(AND(D93&lt;&gt;"",COUNTIF($D$6:$D$205,D93)&gt;1),"• اسم المستخدم مكرر ","")&amp;IF(AND(D93&lt;&gt;"",ISNUMBER(SEARCH(" ",D93))),"• اسم المستخدم فيه مسافة ","")&amp;IF(AND(E93&lt;&gt;"",OR(ISERROR(SEARCH("@",E93)),ISERROR(SEARCH(".",E93)))),"• البريد غير صحيح ","")&amp;IF(AND(F93&lt;&gt;"",OR(LEN(F93)&lt;&gt;10,LEFT(F93,2)&lt;&gt;"05",ISERROR(--F93))),"• الجوال ليس بصيغة 05XXXXXXXX ","")&amp;IF(AND(L93&lt;&gt;"",OR(LEN(L93)&lt;2,LEN(L93)&gt;6,ISERROR(--L93),ISNUMBER(SEARCH(".",L93)))),"• التحويلة يجب أن تكون 2-6 أرقام ","")&amp;IF(AND(L93&lt;&gt;"",COUNTIF($L$6:$L$205,L93)&gt;1),"• التحويلة مكررة ","")&amp;IF(AND(M93="نعم",L93=""),"• يجري مكالمات بدون تحويلة ","")&amp;IF(AND(K93&lt;&gt;"",COUNTIF($D$6:$D$205,K93)=0),"• المشرف غير موجود في الجدول ","")&amp;IF(AND(J93="موظف تحصيل",K93=""),"• موظف التحصيل يحتاج مشرفاً ","")&amp;IF(AND(O93&lt;&gt;"",P93=""),"• نوع الهدف بدون قيمة ","")))</f>
        <v/>
      </c>
    </row>
    <row r="94">
      <c r="A94" s="17">
        <f>IF(COUNTA(B94:R94)=0,"",ROW()-5)</f>
        <v/>
      </c>
      <c r="B94" s="18" t="n"/>
      <c r="C94" s="18" t="n"/>
      <c r="D94" s="18" t="n"/>
      <c r="E94" s="18" t="n"/>
      <c r="F94" s="18" t="n"/>
      <c r="G94" s="18" t="n"/>
      <c r="H94" s="10" t="n"/>
      <c r="I94" s="10" t="n"/>
      <c r="J94" s="10" t="n"/>
      <c r="K94" s="10" t="n"/>
      <c r="L94" s="18" t="n"/>
      <c r="M94" s="10" t="n"/>
      <c r="N94" s="18" t="n"/>
      <c r="O94" s="10" t="n"/>
      <c r="P94" s="19" t="n"/>
      <c r="Q94" s="10" t="n"/>
      <c r="R94" s="18" t="n"/>
      <c r="S94" s="20">
        <f>IF(COUNTA(B94:R94)=0,"",IF((IF(((B94="")+(C94="")+(D94="")+(E94="")+(F94="")+(H94="")+(I94="")+(J94="")+(M94="")+(Q94=""))&gt;0,"• حقول إلزامية ناقصة ","")&amp;IF(AND(D94&lt;&gt;"",COUNTIF($D$6:$D$205,D94)&gt;1),"• اسم المستخدم مكرر ","")&amp;IF(AND(D94&lt;&gt;"",ISNUMBER(SEARCH(" ",D94))),"• اسم المستخدم فيه مسافة ","")&amp;IF(AND(E94&lt;&gt;"",OR(ISERROR(SEARCH("@",E94)),ISERROR(SEARCH(".",E94)))),"• البريد غير صحيح ","")&amp;IF(AND(F94&lt;&gt;"",OR(LEN(F94)&lt;&gt;10,LEFT(F94,2)&lt;&gt;"05",ISERROR(--F94))),"• الجوال ليس بصيغة 05XXXXXXXX ","")&amp;IF(AND(L94&lt;&gt;"",OR(LEN(L94)&lt;2,LEN(L94)&gt;6,ISERROR(--L94),ISNUMBER(SEARCH(".",L94)))),"• التحويلة يجب أن تكون 2-6 أرقام ","")&amp;IF(AND(L94&lt;&gt;"",COUNTIF($L$6:$L$205,L94)&gt;1),"• التحويلة مكررة ","")&amp;IF(AND(M94="نعم",L94=""),"• يجري مكالمات بدون تحويلة ","")&amp;IF(AND(K94&lt;&gt;"",COUNTIF($D$6:$D$205,K94)=0),"• المشرف غير موجود في الجدول ","")&amp;IF(AND(J94="موظف تحصيل",K94=""),"• موظف التحصيل يحتاج مشرفاً ","")&amp;IF(AND(O94&lt;&gt;"",P94=""),"• نوع الهدف بدون قيمة ",""))="","✔ مكتمل",IF(((B94="")+(C94="")+(D94="")+(E94="")+(F94="")+(H94="")+(I94="")+(J94="")+(M94="")+(Q94=""))&gt;0,"• حقول إلزامية ناقصة ","")&amp;IF(AND(D94&lt;&gt;"",COUNTIF($D$6:$D$205,D94)&gt;1),"• اسم المستخدم مكرر ","")&amp;IF(AND(D94&lt;&gt;"",ISNUMBER(SEARCH(" ",D94))),"• اسم المستخدم فيه مسافة ","")&amp;IF(AND(E94&lt;&gt;"",OR(ISERROR(SEARCH("@",E94)),ISERROR(SEARCH(".",E94)))),"• البريد غير صحيح ","")&amp;IF(AND(F94&lt;&gt;"",OR(LEN(F94)&lt;&gt;10,LEFT(F94,2)&lt;&gt;"05",ISERROR(--F94))),"• الجوال ليس بصيغة 05XXXXXXXX ","")&amp;IF(AND(L94&lt;&gt;"",OR(LEN(L94)&lt;2,LEN(L94)&gt;6,ISERROR(--L94),ISNUMBER(SEARCH(".",L94)))),"• التحويلة يجب أن تكون 2-6 أرقام ","")&amp;IF(AND(L94&lt;&gt;"",COUNTIF($L$6:$L$205,L94)&gt;1),"• التحويلة مكررة ","")&amp;IF(AND(M94="نعم",L94=""),"• يجري مكالمات بدون تحويلة ","")&amp;IF(AND(K94&lt;&gt;"",COUNTIF($D$6:$D$205,K94)=0),"• المشرف غير موجود في الجدول ","")&amp;IF(AND(J94="موظف تحصيل",K94=""),"• موظف التحصيل يحتاج مشرفاً ","")&amp;IF(AND(O94&lt;&gt;"",P94=""),"• نوع الهدف بدون قيمة ","")))</f>
        <v/>
      </c>
    </row>
    <row r="95">
      <c r="A95" s="17">
        <f>IF(COUNTA(B95:R95)=0,"",ROW()-5)</f>
        <v/>
      </c>
      <c r="B95" s="18" t="n"/>
      <c r="C95" s="18" t="n"/>
      <c r="D95" s="18" t="n"/>
      <c r="E95" s="18" t="n"/>
      <c r="F95" s="18" t="n"/>
      <c r="G95" s="18" t="n"/>
      <c r="H95" s="10" t="n"/>
      <c r="I95" s="10" t="n"/>
      <c r="J95" s="10" t="n"/>
      <c r="K95" s="10" t="n"/>
      <c r="L95" s="18" t="n"/>
      <c r="M95" s="10" t="n"/>
      <c r="N95" s="18" t="n"/>
      <c r="O95" s="10" t="n"/>
      <c r="P95" s="19" t="n"/>
      <c r="Q95" s="10" t="n"/>
      <c r="R95" s="18" t="n"/>
      <c r="S95" s="20">
        <f>IF(COUNTA(B95:R95)=0,"",IF((IF(((B95="")+(C95="")+(D95="")+(E95="")+(F95="")+(H95="")+(I95="")+(J95="")+(M95="")+(Q95=""))&gt;0,"• حقول إلزامية ناقصة ","")&amp;IF(AND(D95&lt;&gt;"",COUNTIF($D$6:$D$205,D95)&gt;1),"• اسم المستخدم مكرر ","")&amp;IF(AND(D95&lt;&gt;"",ISNUMBER(SEARCH(" ",D95))),"• اسم المستخدم فيه مسافة ","")&amp;IF(AND(E95&lt;&gt;"",OR(ISERROR(SEARCH("@",E95)),ISERROR(SEARCH(".",E95)))),"• البريد غير صحيح ","")&amp;IF(AND(F95&lt;&gt;"",OR(LEN(F95)&lt;&gt;10,LEFT(F95,2)&lt;&gt;"05",ISERROR(--F95))),"• الجوال ليس بصيغة 05XXXXXXXX ","")&amp;IF(AND(L95&lt;&gt;"",OR(LEN(L95)&lt;2,LEN(L95)&gt;6,ISERROR(--L95),ISNUMBER(SEARCH(".",L95)))),"• التحويلة يجب أن تكون 2-6 أرقام ","")&amp;IF(AND(L95&lt;&gt;"",COUNTIF($L$6:$L$205,L95)&gt;1),"• التحويلة مكررة ","")&amp;IF(AND(M95="نعم",L95=""),"• يجري مكالمات بدون تحويلة ","")&amp;IF(AND(K95&lt;&gt;"",COUNTIF($D$6:$D$205,K95)=0),"• المشرف غير موجود في الجدول ","")&amp;IF(AND(J95="موظف تحصيل",K95=""),"• موظف التحصيل يحتاج مشرفاً ","")&amp;IF(AND(O95&lt;&gt;"",P95=""),"• نوع الهدف بدون قيمة ",""))="","✔ مكتمل",IF(((B95="")+(C95="")+(D95="")+(E95="")+(F95="")+(H95="")+(I95="")+(J95="")+(M95="")+(Q95=""))&gt;0,"• حقول إلزامية ناقصة ","")&amp;IF(AND(D95&lt;&gt;"",COUNTIF($D$6:$D$205,D95)&gt;1),"• اسم المستخدم مكرر ","")&amp;IF(AND(D95&lt;&gt;"",ISNUMBER(SEARCH(" ",D95))),"• اسم المستخدم فيه مسافة ","")&amp;IF(AND(E95&lt;&gt;"",OR(ISERROR(SEARCH("@",E95)),ISERROR(SEARCH(".",E95)))),"• البريد غير صحيح ","")&amp;IF(AND(F95&lt;&gt;"",OR(LEN(F95)&lt;&gt;10,LEFT(F95,2)&lt;&gt;"05",ISERROR(--F95))),"• الجوال ليس بصيغة 05XXXXXXXX ","")&amp;IF(AND(L95&lt;&gt;"",OR(LEN(L95)&lt;2,LEN(L95)&gt;6,ISERROR(--L95),ISNUMBER(SEARCH(".",L95)))),"• التحويلة يجب أن تكون 2-6 أرقام ","")&amp;IF(AND(L95&lt;&gt;"",COUNTIF($L$6:$L$205,L95)&gt;1),"• التحويلة مكررة ","")&amp;IF(AND(M95="نعم",L95=""),"• يجري مكالمات بدون تحويلة ","")&amp;IF(AND(K95&lt;&gt;"",COUNTIF($D$6:$D$205,K95)=0),"• المشرف غير موجود في الجدول ","")&amp;IF(AND(J95="موظف تحصيل",K95=""),"• موظف التحصيل يحتاج مشرفاً ","")&amp;IF(AND(O95&lt;&gt;"",P95=""),"• نوع الهدف بدون قيمة ","")))</f>
        <v/>
      </c>
    </row>
    <row r="96">
      <c r="A96" s="17">
        <f>IF(COUNTA(B96:R96)=0,"",ROW()-5)</f>
        <v/>
      </c>
      <c r="B96" s="18" t="n"/>
      <c r="C96" s="18" t="n"/>
      <c r="D96" s="18" t="n"/>
      <c r="E96" s="18" t="n"/>
      <c r="F96" s="18" t="n"/>
      <c r="G96" s="18" t="n"/>
      <c r="H96" s="10" t="n"/>
      <c r="I96" s="10" t="n"/>
      <c r="J96" s="10" t="n"/>
      <c r="K96" s="10" t="n"/>
      <c r="L96" s="18" t="n"/>
      <c r="M96" s="10" t="n"/>
      <c r="N96" s="18" t="n"/>
      <c r="O96" s="10" t="n"/>
      <c r="P96" s="19" t="n"/>
      <c r="Q96" s="10" t="n"/>
      <c r="R96" s="18" t="n"/>
      <c r="S96" s="20">
        <f>IF(COUNTA(B96:R96)=0,"",IF((IF(((B96="")+(C96="")+(D96="")+(E96="")+(F96="")+(H96="")+(I96="")+(J96="")+(M96="")+(Q96=""))&gt;0,"• حقول إلزامية ناقصة ","")&amp;IF(AND(D96&lt;&gt;"",COUNTIF($D$6:$D$205,D96)&gt;1),"• اسم المستخدم مكرر ","")&amp;IF(AND(D96&lt;&gt;"",ISNUMBER(SEARCH(" ",D96))),"• اسم المستخدم فيه مسافة ","")&amp;IF(AND(E96&lt;&gt;"",OR(ISERROR(SEARCH("@",E96)),ISERROR(SEARCH(".",E96)))),"• البريد غير صحيح ","")&amp;IF(AND(F96&lt;&gt;"",OR(LEN(F96)&lt;&gt;10,LEFT(F96,2)&lt;&gt;"05",ISERROR(--F96))),"• الجوال ليس بصيغة 05XXXXXXXX ","")&amp;IF(AND(L96&lt;&gt;"",OR(LEN(L96)&lt;2,LEN(L96)&gt;6,ISERROR(--L96),ISNUMBER(SEARCH(".",L96)))),"• التحويلة يجب أن تكون 2-6 أرقام ","")&amp;IF(AND(L96&lt;&gt;"",COUNTIF($L$6:$L$205,L96)&gt;1),"• التحويلة مكررة ","")&amp;IF(AND(M96="نعم",L96=""),"• يجري مكالمات بدون تحويلة ","")&amp;IF(AND(K96&lt;&gt;"",COUNTIF($D$6:$D$205,K96)=0),"• المشرف غير موجود في الجدول ","")&amp;IF(AND(J96="موظف تحصيل",K96=""),"• موظف التحصيل يحتاج مشرفاً ","")&amp;IF(AND(O96&lt;&gt;"",P96=""),"• نوع الهدف بدون قيمة ",""))="","✔ مكتمل",IF(((B96="")+(C96="")+(D96="")+(E96="")+(F96="")+(H96="")+(I96="")+(J96="")+(M96="")+(Q96=""))&gt;0,"• حقول إلزامية ناقصة ","")&amp;IF(AND(D96&lt;&gt;"",COUNTIF($D$6:$D$205,D96)&gt;1),"• اسم المستخدم مكرر ","")&amp;IF(AND(D96&lt;&gt;"",ISNUMBER(SEARCH(" ",D96))),"• اسم المستخدم فيه مسافة ","")&amp;IF(AND(E96&lt;&gt;"",OR(ISERROR(SEARCH("@",E96)),ISERROR(SEARCH(".",E96)))),"• البريد غير صحيح ","")&amp;IF(AND(F96&lt;&gt;"",OR(LEN(F96)&lt;&gt;10,LEFT(F96,2)&lt;&gt;"05",ISERROR(--F96))),"• الجوال ليس بصيغة 05XXXXXXXX ","")&amp;IF(AND(L96&lt;&gt;"",OR(LEN(L96)&lt;2,LEN(L96)&gt;6,ISERROR(--L96),ISNUMBER(SEARCH(".",L96)))),"• التحويلة يجب أن تكون 2-6 أرقام ","")&amp;IF(AND(L96&lt;&gt;"",COUNTIF($L$6:$L$205,L96)&gt;1),"• التحويلة مكررة ","")&amp;IF(AND(M96="نعم",L96=""),"• يجري مكالمات بدون تحويلة ","")&amp;IF(AND(K96&lt;&gt;"",COUNTIF($D$6:$D$205,K96)=0),"• المشرف غير موجود في الجدول ","")&amp;IF(AND(J96="موظف تحصيل",K96=""),"• موظف التحصيل يحتاج مشرفاً ","")&amp;IF(AND(O96&lt;&gt;"",P96=""),"• نوع الهدف بدون قيمة ","")))</f>
        <v/>
      </c>
    </row>
    <row r="97">
      <c r="A97" s="17">
        <f>IF(COUNTA(B97:R97)=0,"",ROW()-5)</f>
        <v/>
      </c>
      <c r="B97" s="18" t="n"/>
      <c r="C97" s="18" t="n"/>
      <c r="D97" s="18" t="n"/>
      <c r="E97" s="18" t="n"/>
      <c r="F97" s="18" t="n"/>
      <c r="G97" s="18" t="n"/>
      <c r="H97" s="10" t="n"/>
      <c r="I97" s="10" t="n"/>
      <c r="J97" s="10" t="n"/>
      <c r="K97" s="10" t="n"/>
      <c r="L97" s="18" t="n"/>
      <c r="M97" s="10" t="n"/>
      <c r="N97" s="18" t="n"/>
      <c r="O97" s="10" t="n"/>
      <c r="P97" s="19" t="n"/>
      <c r="Q97" s="10" t="n"/>
      <c r="R97" s="18" t="n"/>
      <c r="S97" s="20">
        <f>IF(COUNTA(B97:R97)=0,"",IF((IF(((B97="")+(C97="")+(D97="")+(E97="")+(F97="")+(H97="")+(I97="")+(J97="")+(M97="")+(Q97=""))&gt;0,"• حقول إلزامية ناقصة ","")&amp;IF(AND(D97&lt;&gt;"",COUNTIF($D$6:$D$205,D97)&gt;1),"• اسم المستخدم مكرر ","")&amp;IF(AND(D97&lt;&gt;"",ISNUMBER(SEARCH(" ",D97))),"• اسم المستخدم فيه مسافة ","")&amp;IF(AND(E97&lt;&gt;"",OR(ISERROR(SEARCH("@",E97)),ISERROR(SEARCH(".",E97)))),"• البريد غير صحيح ","")&amp;IF(AND(F97&lt;&gt;"",OR(LEN(F97)&lt;&gt;10,LEFT(F97,2)&lt;&gt;"05",ISERROR(--F97))),"• الجوال ليس بصيغة 05XXXXXXXX ","")&amp;IF(AND(L97&lt;&gt;"",OR(LEN(L97)&lt;2,LEN(L97)&gt;6,ISERROR(--L97),ISNUMBER(SEARCH(".",L97)))),"• التحويلة يجب أن تكون 2-6 أرقام ","")&amp;IF(AND(L97&lt;&gt;"",COUNTIF($L$6:$L$205,L97)&gt;1),"• التحويلة مكررة ","")&amp;IF(AND(M97="نعم",L97=""),"• يجري مكالمات بدون تحويلة ","")&amp;IF(AND(K97&lt;&gt;"",COUNTIF($D$6:$D$205,K97)=0),"• المشرف غير موجود في الجدول ","")&amp;IF(AND(J97="موظف تحصيل",K97=""),"• موظف التحصيل يحتاج مشرفاً ","")&amp;IF(AND(O97&lt;&gt;"",P97=""),"• نوع الهدف بدون قيمة ",""))="","✔ مكتمل",IF(((B97="")+(C97="")+(D97="")+(E97="")+(F97="")+(H97="")+(I97="")+(J97="")+(M97="")+(Q97=""))&gt;0,"• حقول إلزامية ناقصة ","")&amp;IF(AND(D97&lt;&gt;"",COUNTIF($D$6:$D$205,D97)&gt;1),"• اسم المستخدم مكرر ","")&amp;IF(AND(D97&lt;&gt;"",ISNUMBER(SEARCH(" ",D97))),"• اسم المستخدم فيه مسافة ","")&amp;IF(AND(E97&lt;&gt;"",OR(ISERROR(SEARCH("@",E97)),ISERROR(SEARCH(".",E97)))),"• البريد غير صحيح ","")&amp;IF(AND(F97&lt;&gt;"",OR(LEN(F97)&lt;&gt;10,LEFT(F97,2)&lt;&gt;"05",ISERROR(--F97))),"• الجوال ليس بصيغة 05XXXXXXXX ","")&amp;IF(AND(L97&lt;&gt;"",OR(LEN(L97)&lt;2,LEN(L97)&gt;6,ISERROR(--L97),ISNUMBER(SEARCH(".",L97)))),"• التحويلة يجب أن تكون 2-6 أرقام ","")&amp;IF(AND(L97&lt;&gt;"",COUNTIF($L$6:$L$205,L97)&gt;1),"• التحويلة مكررة ","")&amp;IF(AND(M97="نعم",L97=""),"• يجري مكالمات بدون تحويلة ","")&amp;IF(AND(K97&lt;&gt;"",COUNTIF($D$6:$D$205,K97)=0),"• المشرف غير موجود في الجدول ","")&amp;IF(AND(J97="موظف تحصيل",K97=""),"• موظف التحصيل يحتاج مشرفاً ","")&amp;IF(AND(O97&lt;&gt;"",P97=""),"• نوع الهدف بدون قيمة ","")))</f>
        <v/>
      </c>
    </row>
    <row r="98">
      <c r="A98" s="17">
        <f>IF(COUNTA(B98:R98)=0,"",ROW()-5)</f>
        <v/>
      </c>
      <c r="B98" s="18" t="n"/>
      <c r="C98" s="18" t="n"/>
      <c r="D98" s="18" t="n"/>
      <c r="E98" s="18" t="n"/>
      <c r="F98" s="18" t="n"/>
      <c r="G98" s="18" t="n"/>
      <c r="H98" s="10" t="n"/>
      <c r="I98" s="10" t="n"/>
      <c r="J98" s="10" t="n"/>
      <c r="K98" s="10" t="n"/>
      <c r="L98" s="18" t="n"/>
      <c r="M98" s="10" t="n"/>
      <c r="N98" s="18" t="n"/>
      <c r="O98" s="10" t="n"/>
      <c r="P98" s="19" t="n"/>
      <c r="Q98" s="10" t="n"/>
      <c r="R98" s="18" t="n"/>
      <c r="S98" s="20">
        <f>IF(COUNTA(B98:R98)=0,"",IF((IF(((B98="")+(C98="")+(D98="")+(E98="")+(F98="")+(H98="")+(I98="")+(J98="")+(M98="")+(Q98=""))&gt;0,"• حقول إلزامية ناقصة ","")&amp;IF(AND(D98&lt;&gt;"",COUNTIF($D$6:$D$205,D98)&gt;1),"• اسم المستخدم مكرر ","")&amp;IF(AND(D98&lt;&gt;"",ISNUMBER(SEARCH(" ",D98))),"• اسم المستخدم فيه مسافة ","")&amp;IF(AND(E98&lt;&gt;"",OR(ISERROR(SEARCH("@",E98)),ISERROR(SEARCH(".",E98)))),"• البريد غير صحيح ","")&amp;IF(AND(F98&lt;&gt;"",OR(LEN(F98)&lt;&gt;10,LEFT(F98,2)&lt;&gt;"05",ISERROR(--F98))),"• الجوال ليس بصيغة 05XXXXXXXX ","")&amp;IF(AND(L98&lt;&gt;"",OR(LEN(L98)&lt;2,LEN(L98)&gt;6,ISERROR(--L98),ISNUMBER(SEARCH(".",L98)))),"• التحويلة يجب أن تكون 2-6 أرقام ","")&amp;IF(AND(L98&lt;&gt;"",COUNTIF($L$6:$L$205,L98)&gt;1),"• التحويلة مكررة ","")&amp;IF(AND(M98="نعم",L98=""),"• يجري مكالمات بدون تحويلة ","")&amp;IF(AND(K98&lt;&gt;"",COUNTIF($D$6:$D$205,K98)=0),"• المشرف غير موجود في الجدول ","")&amp;IF(AND(J98="موظف تحصيل",K98=""),"• موظف التحصيل يحتاج مشرفاً ","")&amp;IF(AND(O98&lt;&gt;"",P98=""),"• نوع الهدف بدون قيمة ",""))="","✔ مكتمل",IF(((B98="")+(C98="")+(D98="")+(E98="")+(F98="")+(H98="")+(I98="")+(J98="")+(M98="")+(Q98=""))&gt;0,"• حقول إلزامية ناقصة ","")&amp;IF(AND(D98&lt;&gt;"",COUNTIF($D$6:$D$205,D98)&gt;1),"• اسم المستخدم مكرر ","")&amp;IF(AND(D98&lt;&gt;"",ISNUMBER(SEARCH(" ",D98))),"• اسم المستخدم فيه مسافة ","")&amp;IF(AND(E98&lt;&gt;"",OR(ISERROR(SEARCH("@",E98)),ISERROR(SEARCH(".",E98)))),"• البريد غير صحيح ","")&amp;IF(AND(F98&lt;&gt;"",OR(LEN(F98)&lt;&gt;10,LEFT(F98,2)&lt;&gt;"05",ISERROR(--F98))),"• الجوال ليس بصيغة 05XXXXXXXX ","")&amp;IF(AND(L98&lt;&gt;"",OR(LEN(L98)&lt;2,LEN(L98)&gt;6,ISERROR(--L98),ISNUMBER(SEARCH(".",L98)))),"• التحويلة يجب أن تكون 2-6 أرقام ","")&amp;IF(AND(L98&lt;&gt;"",COUNTIF($L$6:$L$205,L98)&gt;1),"• التحويلة مكررة ","")&amp;IF(AND(M98="نعم",L98=""),"• يجري مكالمات بدون تحويلة ","")&amp;IF(AND(K98&lt;&gt;"",COUNTIF($D$6:$D$205,K98)=0),"• المشرف غير موجود في الجدول ","")&amp;IF(AND(J98="موظف تحصيل",K98=""),"• موظف التحصيل يحتاج مشرفاً ","")&amp;IF(AND(O98&lt;&gt;"",P98=""),"• نوع الهدف بدون قيمة ","")))</f>
        <v/>
      </c>
    </row>
    <row r="99">
      <c r="A99" s="17">
        <f>IF(COUNTA(B99:R99)=0,"",ROW()-5)</f>
        <v/>
      </c>
      <c r="B99" s="18" t="n"/>
      <c r="C99" s="18" t="n"/>
      <c r="D99" s="18" t="n"/>
      <c r="E99" s="18" t="n"/>
      <c r="F99" s="18" t="n"/>
      <c r="G99" s="18" t="n"/>
      <c r="H99" s="10" t="n"/>
      <c r="I99" s="10" t="n"/>
      <c r="J99" s="10" t="n"/>
      <c r="K99" s="10" t="n"/>
      <c r="L99" s="18" t="n"/>
      <c r="M99" s="10" t="n"/>
      <c r="N99" s="18" t="n"/>
      <c r="O99" s="10" t="n"/>
      <c r="P99" s="19" t="n"/>
      <c r="Q99" s="10" t="n"/>
      <c r="R99" s="18" t="n"/>
      <c r="S99" s="20">
        <f>IF(COUNTA(B99:R99)=0,"",IF((IF(((B99="")+(C99="")+(D99="")+(E99="")+(F99="")+(H99="")+(I99="")+(J99="")+(M99="")+(Q99=""))&gt;0,"• حقول إلزامية ناقصة ","")&amp;IF(AND(D99&lt;&gt;"",COUNTIF($D$6:$D$205,D99)&gt;1),"• اسم المستخدم مكرر ","")&amp;IF(AND(D99&lt;&gt;"",ISNUMBER(SEARCH(" ",D99))),"• اسم المستخدم فيه مسافة ","")&amp;IF(AND(E99&lt;&gt;"",OR(ISERROR(SEARCH("@",E99)),ISERROR(SEARCH(".",E99)))),"• البريد غير صحيح ","")&amp;IF(AND(F99&lt;&gt;"",OR(LEN(F99)&lt;&gt;10,LEFT(F99,2)&lt;&gt;"05",ISERROR(--F99))),"• الجوال ليس بصيغة 05XXXXXXXX ","")&amp;IF(AND(L99&lt;&gt;"",OR(LEN(L99)&lt;2,LEN(L99)&gt;6,ISERROR(--L99),ISNUMBER(SEARCH(".",L99)))),"• التحويلة يجب أن تكون 2-6 أرقام ","")&amp;IF(AND(L99&lt;&gt;"",COUNTIF($L$6:$L$205,L99)&gt;1),"• التحويلة مكررة ","")&amp;IF(AND(M99="نعم",L99=""),"• يجري مكالمات بدون تحويلة ","")&amp;IF(AND(K99&lt;&gt;"",COUNTIF($D$6:$D$205,K99)=0),"• المشرف غير موجود في الجدول ","")&amp;IF(AND(J99="موظف تحصيل",K99=""),"• موظف التحصيل يحتاج مشرفاً ","")&amp;IF(AND(O99&lt;&gt;"",P99=""),"• نوع الهدف بدون قيمة ",""))="","✔ مكتمل",IF(((B99="")+(C99="")+(D99="")+(E99="")+(F99="")+(H99="")+(I99="")+(J99="")+(M99="")+(Q99=""))&gt;0,"• حقول إلزامية ناقصة ","")&amp;IF(AND(D99&lt;&gt;"",COUNTIF($D$6:$D$205,D99)&gt;1),"• اسم المستخدم مكرر ","")&amp;IF(AND(D99&lt;&gt;"",ISNUMBER(SEARCH(" ",D99))),"• اسم المستخدم فيه مسافة ","")&amp;IF(AND(E99&lt;&gt;"",OR(ISERROR(SEARCH("@",E99)),ISERROR(SEARCH(".",E99)))),"• البريد غير صحيح ","")&amp;IF(AND(F99&lt;&gt;"",OR(LEN(F99)&lt;&gt;10,LEFT(F99,2)&lt;&gt;"05",ISERROR(--F99))),"• الجوال ليس بصيغة 05XXXXXXXX ","")&amp;IF(AND(L99&lt;&gt;"",OR(LEN(L99)&lt;2,LEN(L99)&gt;6,ISERROR(--L99),ISNUMBER(SEARCH(".",L99)))),"• التحويلة يجب أن تكون 2-6 أرقام ","")&amp;IF(AND(L99&lt;&gt;"",COUNTIF($L$6:$L$205,L99)&gt;1),"• التحويلة مكررة ","")&amp;IF(AND(M99="نعم",L99=""),"• يجري مكالمات بدون تحويلة ","")&amp;IF(AND(K99&lt;&gt;"",COUNTIF($D$6:$D$205,K99)=0),"• المشرف غير موجود في الجدول ","")&amp;IF(AND(J99="موظف تحصيل",K99=""),"• موظف التحصيل يحتاج مشرفاً ","")&amp;IF(AND(O99&lt;&gt;"",P99=""),"• نوع الهدف بدون قيمة ","")))</f>
        <v/>
      </c>
    </row>
    <row r="100">
      <c r="A100" s="17">
        <f>IF(COUNTA(B100:R100)=0,"",ROW()-5)</f>
        <v/>
      </c>
      <c r="B100" s="18" t="n"/>
      <c r="C100" s="18" t="n"/>
      <c r="D100" s="18" t="n"/>
      <c r="E100" s="18" t="n"/>
      <c r="F100" s="18" t="n"/>
      <c r="G100" s="18" t="n"/>
      <c r="H100" s="10" t="n"/>
      <c r="I100" s="10" t="n"/>
      <c r="J100" s="10" t="n"/>
      <c r="K100" s="10" t="n"/>
      <c r="L100" s="18" t="n"/>
      <c r="M100" s="10" t="n"/>
      <c r="N100" s="18" t="n"/>
      <c r="O100" s="10" t="n"/>
      <c r="P100" s="19" t="n"/>
      <c r="Q100" s="10" t="n"/>
      <c r="R100" s="18" t="n"/>
      <c r="S100" s="20">
        <f>IF(COUNTA(B100:R100)=0,"",IF((IF(((B100="")+(C100="")+(D100="")+(E100="")+(F100="")+(H100="")+(I100="")+(J100="")+(M100="")+(Q100=""))&gt;0,"• حقول إلزامية ناقصة ","")&amp;IF(AND(D100&lt;&gt;"",COUNTIF($D$6:$D$205,D100)&gt;1),"• اسم المستخدم مكرر ","")&amp;IF(AND(D100&lt;&gt;"",ISNUMBER(SEARCH(" ",D100))),"• اسم المستخدم فيه مسافة ","")&amp;IF(AND(E100&lt;&gt;"",OR(ISERROR(SEARCH("@",E100)),ISERROR(SEARCH(".",E100)))),"• البريد غير صحيح ","")&amp;IF(AND(F100&lt;&gt;"",OR(LEN(F100)&lt;&gt;10,LEFT(F100,2)&lt;&gt;"05",ISERROR(--F100))),"• الجوال ليس بصيغة 05XXXXXXXX ","")&amp;IF(AND(L100&lt;&gt;"",OR(LEN(L100)&lt;2,LEN(L100)&gt;6,ISERROR(--L100),ISNUMBER(SEARCH(".",L100)))),"• التحويلة يجب أن تكون 2-6 أرقام ","")&amp;IF(AND(L100&lt;&gt;"",COUNTIF($L$6:$L$205,L100)&gt;1),"• التحويلة مكررة ","")&amp;IF(AND(M100="نعم",L100=""),"• يجري مكالمات بدون تحويلة ","")&amp;IF(AND(K100&lt;&gt;"",COUNTIF($D$6:$D$205,K100)=0),"• المشرف غير موجود في الجدول ","")&amp;IF(AND(J100="موظف تحصيل",K100=""),"• موظف التحصيل يحتاج مشرفاً ","")&amp;IF(AND(O100&lt;&gt;"",P100=""),"• نوع الهدف بدون قيمة ",""))="","✔ مكتمل",IF(((B100="")+(C100="")+(D100="")+(E100="")+(F100="")+(H100="")+(I100="")+(J100="")+(M100="")+(Q100=""))&gt;0,"• حقول إلزامية ناقصة ","")&amp;IF(AND(D100&lt;&gt;"",COUNTIF($D$6:$D$205,D100)&gt;1),"• اسم المستخدم مكرر ","")&amp;IF(AND(D100&lt;&gt;"",ISNUMBER(SEARCH(" ",D100))),"• اسم المستخدم فيه مسافة ","")&amp;IF(AND(E100&lt;&gt;"",OR(ISERROR(SEARCH("@",E100)),ISERROR(SEARCH(".",E100)))),"• البريد غير صحيح ","")&amp;IF(AND(F100&lt;&gt;"",OR(LEN(F100)&lt;&gt;10,LEFT(F100,2)&lt;&gt;"05",ISERROR(--F100))),"• الجوال ليس بصيغة 05XXXXXXXX ","")&amp;IF(AND(L100&lt;&gt;"",OR(LEN(L100)&lt;2,LEN(L100)&gt;6,ISERROR(--L100),ISNUMBER(SEARCH(".",L100)))),"• التحويلة يجب أن تكون 2-6 أرقام ","")&amp;IF(AND(L100&lt;&gt;"",COUNTIF($L$6:$L$205,L100)&gt;1),"• التحويلة مكررة ","")&amp;IF(AND(M100="نعم",L100=""),"• يجري مكالمات بدون تحويلة ","")&amp;IF(AND(K100&lt;&gt;"",COUNTIF($D$6:$D$205,K100)=0),"• المشرف غير موجود في الجدول ","")&amp;IF(AND(J100="موظف تحصيل",K100=""),"• موظف التحصيل يحتاج مشرفاً ","")&amp;IF(AND(O100&lt;&gt;"",P100=""),"• نوع الهدف بدون قيمة ","")))</f>
        <v/>
      </c>
    </row>
    <row r="101">
      <c r="A101" s="17">
        <f>IF(COUNTA(B101:R101)=0,"",ROW()-5)</f>
        <v/>
      </c>
      <c r="B101" s="18" t="n"/>
      <c r="C101" s="18" t="n"/>
      <c r="D101" s="18" t="n"/>
      <c r="E101" s="18" t="n"/>
      <c r="F101" s="18" t="n"/>
      <c r="G101" s="18" t="n"/>
      <c r="H101" s="10" t="n"/>
      <c r="I101" s="10" t="n"/>
      <c r="J101" s="10" t="n"/>
      <c r="K101" s="10" t="n"/>
      <c r="L101" s="18" t="n"/>
      <c r="M101" s="10" t="n"/>
      <c r="N101" s="18" t="n"/>
      <c r="O101" s="10" t="n"/>
      <c r="P101" s="19" t="n"/>
      <c r="Q101" s="10" t="n"/>
      <c r="R101" s="18" t="n"/>
      <c r="S101" s="20">
        <f>IF(COUNTA(B101:R101)=0,"",IF((IF(((B101="")+(C101="")+(D101="")+(E101="")+(F101="")+(H101="")+(I101="")+(J101="")+(M101="")+(Q101=""))&gt;0,"• حقول إلزامية ناقصة ","")&amp;IF(AND(D101&lt;&gt;"",COUNTIF($D$6:$D$205,D101)&gt;1),"• اسم المستخدم مكرر ","")&amp;IF(AND(D101&lt;&gt;"",ISNUMBER(SEARCH(" ",D101))),"• اسم المستخدم فيه مسافة ","")&amp;IF(AND(E101&lt;&gt;"",OR(ISERROR(SEARCH("@",E101)),ISERROR(SEARCH(".",E101)))),"• البريد غير صحيح ","")&amp;IF(AND(F101&lt;&gt;"",OR(LEN(F101)&lt;&gt;10,LEFT(F101,2)&lt;&gt;"05",ISERROR(--F101))),"• الجوال ليس بصيغة 05XXXXXXXX ","")&amp;IF(AND(L101&lt;&gt;"",OR(LEN(L101)&lt;2,LEN(L101)&gt;6,ISERROR(--L101),ISNUMBER(SEARCH(".",L101)))),"• التحويلة يجب أن تكون 2-6 أرقام ","")&amp;IF(AND(L101&lt;&gt;"",COUNTIF($L$6:$L$205,L101)&gt;1),"• التحويلة مكررة ","")&amp;IF(AND(M101="نعم",L101=""),"• يجري مكالمات بدون تحويلة ","")&amp;IF(AND(K101&lt;&gt;"",COUNTIF($D$6:$D$205,K101)=0),"• المشرف غير موجود في الجدول ","")&amp;IF(AND(J101="موظف تحصيل",K101=""),"• موظف التحصيل يحتاج مشرفاً ","")&amp;IF(AND(O101&lt;&gt;"",P101=""),"• نوع الهدف بدون قيمة ",""))="","✔ مكتمل",IF(((B101="")+(C101="")+(D101="")+(E101="")+(F101="")+(H101="")+(I101="")+(J101="")+(M101="")+(Q101=""))&gt;0,"• حقول إلزامية ناقصة ","")&amp;IF(AND(D101&lt;&gt;"",COUNTIF($D$6:$D$205,D101)&gt;1),"• اسم المستخدم مكرر ","")&amp;IF(AND(D101&lt;&gt;"",ISNUMBER(SEARCH(" ",D101))),"• اسم المستخدم فيه مسافة ","")&amp;IF(AND(E101&lt;&gt;"",OR(ISERROR(SEARCH("@",E101)),ISERROR(SEARCH(".",E101)))),"• البريد غير صحيح ","")&amp;IF(AND(F101&lt;&gt;"",OR(LEN(F101)&lt;&gt;10,LEFT(F101,2)&lt;&gt;"05",ISERROR(--F101))),"• الجوال ليس بصيغة 05XXXXXXXX ","")&amp;IF(AND(L101&lt;&gt;"",OR(LEN(L101)&lt;2,LEN(L101)&gt;6,ISERROR(--L101),ISNUMBER(SEARCH(".",L101)))),"• التحويلة يجب أن تكون 2-6 أرقام ","")&amp;IF(AND(L101&lt;&gt;"",COUNTIF($L$6:$L$205,L101)&gt;1),"• التحويلة مكررة ","")&amp;IF(AND(M101="نعم",L101=""),"• يجري مكالمات بدون تحويلة ","")&amp;IF(AND(K101&lt;&gt;"",COUNTIF($D$6:$D$205,K101)=0),"• المشرف غير موجود في الجدول ","")&amp;IF(AND(J101="موظف تحصيل",K101=""),"• موظف التحصيل يحتاج مشرفاً ","")&amp;IF(AND(O101&lt;&gt;"",P101=""),"• نوع الهدف بدون قيمة ","")))</f>
        <v/>
      </c>
    </row>
    <row r="102">
      <c r="A102" s="17">
        <f>IF(COUNTA(B102:R102)=0,"",ROW()-5)</f>
        <v/>
      </c>
      <c r="B102" s="18" t="n"/>
      <c r="C102" s="18" t="n"/>
      <c r="D102" s="18" t="n"/>
      <c r="E102" s="18" t="n"/>
      <c r="F102" s="18" t="n"/>
      <c r="G102" s="18" t="n"/>
      <c r="H102" s="10" t="n"/>
      <c r="I102" s="10" t="n"/>
      <c r="J102" s="10" t="n"/>
      <c r="K102" s="10" t="n"/>
      <c r="L102" s="18" t="n"/>
      <c r="M102" s="10" t="n"/>
      <c r="N102" s="18" t="n"/>
      <c r="O102" s="10" t="n"/>
      <c r="P102" s="19" t="n"/>
      <c r="Q102" s="10" t="n"/>
      <c r="R102" s="18" t="n"/>
      <c r="S102" s="20">
        <f>IF(COUNTA(B102:R102)=0,"",IF((IF(((B102="")+(C102="")+(D102="")+(E102="")+(F102="")+(H102="")+(I102="")+(J102="")+(M102="")+(Q102=""))&gt;0,"• حقول إلزامية ناقصة ","")&amp;IF(AND(D102&lt;&gt;"",COUNTIF($D$6:$D$205,D102)&gt;1),"• اسم المستخدم مكرر ","")&amp;IF(AND(D102&lt;&gt;"",ISNUMBER(SEARCH(" ",D102))),"• اسم المستخدم فيه مسافة ","")&amp;IF(AND(E102&lt;&gt;"",OR(ISERROR(SEARCH("@",E102)),ISERROR(SEARCH(".",E102)))),"• البريد غير صحيح ","")&amp;IF(AND(F102&lt;&gt;"",OR(LEN(F102)&lt;&gt;10,LEFT(F102,2)&lt;&gt;"05",ISERROR(--F102))),"• الجوال ليس بصيغة 05XXXXXXXX ","")&amp;IF(AND(L102&lt;&gt;"",OR(LEN(L102)&lt;2,LEN(L102)&gt;6,ISERROR(--L102),ISNUMBER(SEARCH(".",L102)))),"• التحويلة يجب أن تكون 2-6 أرقام ","")&amp;IF(AND(L102&lt;&gt;"",COUNTIF($L$6:$L$205,L102)&gt;1),"• التحويلة مكررة ","")&amp;IF(AND(M102="نعم",L102=""),"• يجري مكالمات بدون تحويلة ","")&amp;IF(AND(K102&lt;&gt;"",COUNTIF($D$6:$D$205,K102)=0),"• المشرف غير موجود في الجدول ","")&amp;IF(AND(J102="موظف تحصيل",K102=""),"• موظف التحصيل يحتاج مشرفاً ","")&amp;IF(AND(O102&lt;&gt;"",P102=""),"• نوع الهدف بدون قيمة ",""))="","✔ مكتمل",IF(((B102="")+(C102="")+(D102="")+(E102="")+(F102="")+(H102="")+(I102="")+(J102="")+(M102="")+(Q102=""))&gt;0,"• حقول إلزامية ناقصة ","")&amp;IF(AND(D102&lt;&gt;"",COUNTIF($D$6:$D$205,D102)&gt;1),"• اسم المستخدم مكرر ","")&amp;IF(AND(D102&lt;&gt;"",ISNUMBER(SEARCH(" ",D102))),"• اسم المستخدم فيه مسافة ","")&amp;IF(AND(E102&lt;&gt;"",OR(ISERROR(SEARCH("@",E102)),ISERROR(SEARCH(".",E102)))),"• البريد غير صحيح ","")&amp;IF(AND(F102&lt;&gt;"",OR(LEN(F102)&lt;&gt;10,LEFT(F102,2)&lt;&gt;"05",ISERROR(--F102))),"• الجوال ليس بصيغة 05XXXXXXXX ","")&amp;IF(AND(L102&lt;&gt;"",OR(LEN(L102)&lt;2,LEN(L102)&gt;6,ISERROR(--L102),ISNUMBER(SEARCH(".",L102)))),"• التحويلة يجب أن تكون 2-6 أرقام ","")&amp;IF(AND(L102&lt;&gt;"",COUNTIF($L$6:$L$205,L102)&gt;1),"• التحويلة مكررة ","")&amp;IF(AND(M102="نعم",L102=""),"• يجري مكالمات بدون تحويلة ","")&amp;IF(AND(K102&lt;&gt;"",COUNTIF($D$6:$D$205,K102)=0),"• المشرف غير موجود في الجدول ","")&amp;IF(AND(J102="موظف تحصيل",K102=""),"• موظف التحصيل يحتاج مشرفاً ","")&amp;IF(AND(O102&lt;&gt;"",P102=""),"• نوع الهدف بدون قيمة ","")))</f>
        <v/>
      </c>
    </row>
    <row r="103">
      <c r="A103" s="17">
        <f>IF(COUNTA(B103:R103)=0,"",ROW()-5)</f>
        <v/>
      </c>
      <c r="B103" s="18" t="n"/>
      <c r="C103" s="18" t="n"/>
      <c r="D103" s="18" t="n"/>
      <c r="E103" s="18" t="n"/>
      <c r="F103" s="18" t="n"/>
      <c r="G103" s="18" t="n"/>
      <c r="H103" s="10" t="n"/>
      <c r="I103" s="10" t="n"/>
      <c r="J103" s="10" t="n"/>
      <c r="K103" s="10" t="n"/>
      <c r="L103" s="18" t="n"/>
      <c r="M103" s="10" t="n"/>
      <c r="N103" s="18" t="n"/>
      <c r="O103" s="10" t="n"/>
      <c r="P103" s="19" t="n"/>
      <c r="Q103" s="10" t="n"/>
      <c r="R103" s="18" t="n"/>
      <c r="S103" s="20">
        <f>IF(COUNTA(B103:R103)=0,"",IF((IF(((B103="")+(C103="")+(D103="")+(E103="")+(F103="")+(H103="")+(I103="")+(J103="")+(M103="")+(Q103=""))&gt;0,"• حقول إلزامية ناقصة ","")&amp;IF(AND(D103&lt;&gt;"",COUNTIF($D$6:$D$205,D103)&gt;1),"• اسم المستخدم مكرر ","")&amp;IF(AND(D103&lt;&gt;"",ISNUMBER(SEARCH(" ",D103))),"• اسم المستخدم فيه مسافة ","")&amp;IF(AND(E103&lt;&gt;"",OR(ISERROR(SEARCH("@",E103)),ISERROR(SEARCH(".",E103)))),"• البريد غير صحيح ","")&amp;IF(AND(F103&lt;&gt;"",OR(LEN(F103)&lt;&gt;10,LEFT(F103,2)&lt;&gt;"05",ISERROR(--F103))),"• الجوال ليس بصيغة 05XXXXXXXX ","")&amp;IF(AND(L103&lt;&gt;"",OR(LEN(L103)&lt;2,LEN(L103)&gt;6,ISERROR(--L103),ISNUMBER(SEARCH(".",L103)))),"• التحويلة يجب أن تكون 2-6 أرقام ","")&amp;IF(AND(L103&lt;&gt;"",COUNTIF($L$6:$L$205,L103)&gt;1),"• التحويلة مكررة ","")&amp;IF(AND(M103="نعم",L103=""),"• يجري مكالمات بدون تحويلة ","")&amp;IF(AND(K103&lt;&gt;"",COUNTIF($D$6:$D$205,K103)=0),"• المشرف غير موجود في الجدول ","")&amp;IF(AND(J103="موظف تحصيل",K103=""),"• موظف التحصيل يحتاج مشرفاً ","")&amp;IF(AND(O103&lt;&gt;"",P103=""),"• نوع الهدف بدون قيمة ",""))="","✔ مكتمل",IF(((B103="")+(C103="")+(D103="")+(E103="")+(F103="")+(H103="")+(I103="")+(J103="")+(M103="")+(Q103=""))&gt;0,"• حقول إلزامية ناقصة ","")&amp;IF(AND(D103&lt;&gt;"",COUNTIF($D$6:$D$205,D103)&gt;1),"• اسم المستخدم مكرر ","")&amp;IF(AND(D103&lt;&gt;"",ISNUMBER(SEARCH(" ",D103))),"• اسم المستخدم فيه مسافة ","")&amp;IF(AND(E103&lt;&gt;"",OR(ISERROR(SEARCH("@",E103)),ISERROR(SEARCH(".",E103)))),"• البريد غير صحيح ","")&amp;IF(AND(F103&lt;&gt;"",OR(LEN(F103)&lt;&gt;10,LEFT(F103,2)&lt;&gt;"05",ISERROR(--F103))),"• الجوال ليس بصيغة 05XXXXXXXX ","")&amp;IF(AND(L103&lt;&gt;"",OR(LEN(L103)&lt;2,LEN(L103)&gt;6,ISERROR(--L103),ISNUMBER(SEARCH(".",L103)))),"• التحويلة يجب أن تكون 2-6 أرقام ","")&amp;IF(AND(L103&lt;&gt;"",COUNTIF($L$6:$L$205,L103)&gt;1),"• التحويلة مكررة ","")&amp;IF(AND(M103="نعم",L103=""),"• يجري مكالمات بدون تحويلة ","")&amp;IF(AND(K103&lt;&gt;"",COUNTIF($D$6:$D$205,K103)=0),"• المشرف غير موجود في الجدول ","")&amp;IF(AND(J103="موظف تحصيل",K103=""),"• موظف التحصيل يحتاج مشرفاً ","")&amp;IF(AND(O103&lt;&gt;"",P103=""),"• نوع الهدف بدون قيمة ","")))</f>
        <v/>
      </c>
    </row>
    <row r="104">
      <c r="A104" s="17">
        <f>IF(COUNTA(B104:R104)=0,"",ROW()-5)</f>
        <v/>
      </c>
      <c r="B104" s="18" t="n"/>
      <c r="C104" s="18" t="n"/>
      <c r="D104" s="18" t="n"/>
      <c r="E104" s="18" t="n"/>
      <c r="F104" s="18" t="n"/>
      <c r="G104" s="18" t="n"/>
      <c r="H104" s="10" t="n"/>
      <c r="I104" s="10" t="n"/>
      <c r="J104" s="10" t="n"/>
      <c r="K104" s="10" t="n"/>
      <c r="L104" s="18" t="n"/>
      <c r="M104" s="10" t="n"/>
      <c r="N104" s="18" t="n"/>
      <c r="O104" s="10" t="n"/>
      <c r="P104" s="19" t="n"/>
      <c r="Q104" s="10" t="n"/>
      <c r="R104" s="18" t="n"/>
      <c r="S104" s="20">
        <f>IF(COUNTA(B104:R104)=0,"",IF((IF(((B104="")+(C104="")+(D104="")+(E104="")+(F104="")+(H104="")+(I104="")+(J104="")+(M104="")+(Q104=""))&gt;0,"• حقول إلزامية ناقصة ","")&amp;IF(AND(D104&lt;&gt;"",COUNTIF($D$6:$D$205,D104)&gt;1),"• اسم المستخدم مكرر ","")&amp;IF(AND(D104&lt;&gt;"",ISNUMBER(SEARCH(" ",D104))),"• اسم المستخدم فيه مسافة ","")&amp;IF(AND(E104&lt;&gt;"",OR(ISERROR(SEARCH("@",E104)),ISERROR(SEARCH(".",E104)))),"• البريد غير صحيح ","")&amp;IF(AND(F104&lt;&gt;"",OR(LEN(F104)&lt;&gt;10,LEFT(F104,2)&lt;&gt;"05",ISERROR(--F104))),"• الجوال ليس بصيغة 05XXXXXXXX ","")&amp;IF(AND(L104&lt;&gt;"",OR(LEN(L104)&lt;2,LEN(L104)&gt;6,ISERROR(--L104),ISNUMBER(SEARCH(".",L104)))),"• التحويلة يجب أن تكون 2-6 أرقام ","")&amp;IF(AND(L104&lt;&gt;"",COUNTIF($L$6:$L$205,L104)&gt;1),"• التحويلة مكررة ","")&amp;IF(AND(M104="نعم",L104=""),"• يجري مكالمات بدون تحويلة ","")&amp;IF(AND(K104&lt;&gt;"",COUNTIF($D$6:$D$205,K104)=0),"• المشرف غير موجود في الجدول ","")&amp;IF(AND(J104="موظف تحصيل",K104=""),"• موظف التحصيل يحتاج مشرفاً ","")&amp;IF(AND(O104&lt;&gt;"",P104=""),"• نوع الهدف بدون قيمة ",""))="","✔ مكتمل",IF(((B104="")+(C104="")+(D104="")+(E104="")+(F104="")+(H104="")+(I104="")+(J104="")+(M104="")+(Q104=""))&gt;0,"• حقول إلزامية ناقصة ","")&amp;IF(AND(D104&lt;&gt;"",COUNTIF($D$6:$D$205,D104)&gt;1),"• اسم المستخدم مكرر ","")&amp;IF(AND(D104&lt;&gt;"",ISNUMBER(SEARCH(" ",D104))),"• اسم المستخدم فيه مسافة ","")&amp;IF(AND(E104&lt;&gt;"",OR(ISERROR(SEARCH("@",E104)),ISERROR(SEARCH(".",E104)))),"• البريد غير صحيح ","")&amp;IF(AND(F104&lt;&gt;"",OR(LEN(F104)&lt;&gt;10,LEFT(F104,2)&lt;&gt;"05",ISERROR(--F104))),"• الجوال ليس بصيغة 05XXXXXXXX ","")&amp;IF(AND(L104&lt;&gt;"",OR(LEN(L104)&lt;2,LEN(L104)&gt;6,ISERROR(--L104),ISNUMBER(SEARCH(".",L104)))),"• التحويلة يجب أن تكون 2-6 أرقام ","")&amp;IF(AND(L104&lt;&gt;"",COUNTIF($L$6:$L$205,L104)&gt;1),"• التحويلة مكررة ","")&amp;IF(AND(M104="نعم",L104=""),"• يجري مكالمات بدون تحويلة ","")&amp;IF(AND(K104&lt;&gt;"",COUNTIF($D$6:$D$205,K104)=0),"• المشرف غير موجود في الجدول ","")&amp;IF(AND(J104="موظف تحصيل",K104=""),"• موظف التحصيل يحتاج مشرفاً ","")&amp;IF(AND(O104&lt;&gt;"",P104=""),"• نوع الهدف بدون قيمة ","")))</f>
        <v/>
      </c>
    </row>
    <row r="105">
      <c r="A105" s="17">
        <f>IF(COUNTA(B105:R105)=0,"",ROW()-5)</f>
        <v/>
      </c>
      <c r="B105" s="18" t="n"/>
      <c r="C105" s="18" t="n"/>
      <c r="D105" s="18" t="n"/>
      <c r="E105" s="18" t="n"/>
      <c r="F105" s="18" t="n"/>
      <c r="G105" s="18" t="n"/>
      <c r="H105" s="10" t="n"/>
      <c r="I105" s="10" t="n"/>
      <c r="J105" s="10" t="n"/>
      <c r="K105" s="10" t="n"/>
      <c r="L105" s="18" t="n"/>
      <c r="M105" s="10" t="n"/>
      <c r="N105" s="18" t="n"/>
      <c r="O105" s="10" t="n"/>
      <c r="P105" s="19" t="n"/>
      <c r="Q105" s="10" t="n"/>
      <c r="R105" s="18" t="n"/>
      <c r="S105" s="20">
        <f>IF(COUNTA(B105:R105)=0,"",IF((IF(((B105="")+(C105="")+(D105="")+(E105="")+(F105="")+(H105="")+(I105="")+(J105="")+(M105="")+(Q105=""))&gt;0,"• حقول إلزامية ناقصة ","")&amp;IF(AND(D105&lt;&gt;"",COUNTIF($D$6:$D$205,D105)&gt;1),"• اسم المستخدم مكرر ","")&amp;IF(AND(D105&lt;&gt;"",ISNUMBER(SEARCH(" ",D105))),"• اسم المستخدم فيه مسافة ","")&amp;IF(AND(E105&lt;&gt;"",OR(ISERROR(SEARCH("@",E105)),ISERROR(SEARCH(".",E105)))),"• البريد غير صحيح ","")&amp;IF(AND(F105&lt;&gt;"",OR(LEN(F105)&lt;&gt;10,LEFT(F105,2)&lt;&gt;"05",ISERROR(--F105))),"• الجوال ليس بصيغة 05XXXXXXXX ","")&amp;IF(AND(L105&lt;&gt;"",OR(LEN(L105)&lt;2,LEN(L105)&gt;6,ISERROR(--L105),ISNUMBER(SEARCH(".",L105)))),"• التحويلة يجب أن تكون 2-6 أرقام ","")&amp;IF(AND(L105&lt;&gt;"",COUNTIF($L$6:$L$205,L105)&gt;1),"• التحويلة مكررة ","")&amp;IF(AND(M105="نعم",L105=""),"• يجري مكالمات بدون تحويلة ","")&amp;IF(AND(K105&lt;&gt;"",COUNTIF($D$6:$D$205,K105)=0),"• المشرف غير موجود في الجدول ","")&amp;IF(AND(J105="موظف تحصيل",K105=""),"• موظف التحصيل يحتاج مشرفاً ","")&amp;IF(AND(O105&lt;&gt;"",P105=""),"• نوع الهدف بدون قيمة ",""))="","✔ مكتمل",IF(((B105="")+(C105="")+(D105="")+(E105="")+(F105="")+(H105="")+(I105="")+(J105="")+(M105="")+(Q105=""))&gt;0,"• حقول إلزامية ناقصة ","")&amp;IF(AND(D105&lt;&gt;"",COUNTIF($D$6:$D$205,D105)&gt;1),"• اسم المستخدم مكرر ","")&amp;IF(AND(D105&lt;&gt;"",ISNUMBER(SEARCH(" ",D105))),"• اسم المستخدم فيه مسافة ","")&amp;IF(AND(E105&lt;&gt;"",OR(ISERROR(SEARCH("@",E105)),ISERROR(SEARCH(".",E105)))),"• البريد غير صحيح ","")&amp;IF(AND(F105&lt;&gt;"",OR(LEN(F105)&lt;&gt;10,LEFT(F105,2)&lt;&gt;"05",ISERROR(--F105))),"• الجوال ليس بصيغة 05XXXXXXXX ","")&amp;IF(AND(L105&lt;&gt;"",OR(LEN(L105)&lt;2,LEN(L105)&gt;6,ISERROR(--L105),ISNUMBER(SEARCH(".",L105)))),"• التحويلة يجب أن تكون 2-6 أرقام ","")&amp;IF(AND(L105&lt;&gt;"",COUNTIF($L$6:$L$205,L105)&gt;1),"• التحويلة مكررة ","")&amp;IF(AND(M105="نعم",L105=""),"• يجري مكالمات بدون تحويلة ","")&amp;IF(AND(K105&lt;&gt;"",COUNTIF($D$6:$D$205,K105)=0),"• المشرف غير موجود في الجدول ","")&amp;IF(AND(J105="موظف تحصيل",K105=""),"• موظف التحصيل يحتاج مشرفاً ","")&amp;IF(AND(O105&lt;&gt;"",P105=""),"• نوع الهدف بدون قيمة ","")))</f>
        <v/>
      </c>
    </row>
    <row r="106">
      <c r="A106" s="17">
        <f>IF(COUNTA(B106:R106)=0,"",ROW()-5)</f>
        <v/>
      </c>
      <c r="B106" s="18" t="n"/>
      <c r="C106" s="18" t="n"/>
      <c r="D106" s="18" t="n"/>
      <c r="E106" s="18" t="n"/>
      <c r="F106" s="18" t="n"/>
      <c r="G106" s="18" t="n"/>
      <c r="H106" s="10" t="n"/>
      <c r="I106" s="10" t="n"/>
      <c r="J106" s="10" t="n"/>
      <c r="K106" s="10" t="n"/>
      <c r="L106" s="18" t="n"/>
      <c r="M106" s="10" t="n"/>
      <c r="N106" s="18" t="n"/>
      <c r="O106" s="10" t="n"/>
      <c r="P106" s="19" t="n"/>
      <c r="Q106" s="10" t="n"/>
      <c r="R106" s="18" t="n"/>
      <c r="S106" s="20">
        <f>IF(COUNTA(B106:R106)=0,"",IF((IF(((B106="")+(C106="")+(D106="")+(E106="")+(F106="")+(H106="")+(I106="")+(J106="")+(M106="")+(Q106=""))&gt;0,"• حقول إلزامية ناقصة ","")&amp;IF(AND(D106&lt;&gt;"",COUNTIF($D$6:$D$205,D106)&gt;1),"• اسم المستخدم مكرر ","")&amp;IF(AND(D106&lt;&gt;"",ISNUMBER(SEARCH(" ",D106))),"• اسم المستخدم فيه مسافة ","")&amp;IF(AND(E106&lt;&gt;"",OR(ISERROR(SEARCH("@",E106)),ISERROR(SEARCH(".",E106)))),"• البريد غير صحيح ","")&amp;IF(AND(F106&lt;&gt;"",OR(LEN(F106)&lt;&gt;10,LEFT(F106,2)&lt;&gt;"05",ISERROR(--F106))),"• الجوال ليس بصيغة 05XXXXXXXX ","")&amp;IF(AND(L106&lt;&gt;"",OR(LEN(L106)&lt;2,LEN(L106)&gt;6,ISERROR(--L106),ISNUMBER(SEARCH(".",L106)))),"• التحويلة يجب أن تكون 2-6 أرقام ","")&amp;IF(AND(L106&lt;&gt;"",COUNTIF($L$6:$L$205,L106)&gt;1),"• التحويلة مكررة ","")&amp;IF(AND(M106="نعم",L106=""),"• يجري مكالمات بدون تحويلة ","")&amp;IF(AND(K106&lt;&gt;"",COUNTIF($D$6:$D$205,K106)=0),"• المشرف غير موجود في الجدول ","")&amp;IF(AND(J106="موظف تحصيل",K106=""),"• موظف التحصيل يحتاج مشرفاً ","")&amp;IF(AND(O106&lt;&gt;"",P106=""),"• نوع الهدف بدون قيمة ",""))="","✔ مكتمل",IF(((B106="")+(C106="")+(D106="")+(E106="")+(F106="")+(H106="")+(I106="")+(J106="")+(M106="")+(Q106=""))&gt;0,"• حقول إلزامية ناقصة ","")&amp;IF(AND(D106&lt;&gt;"",COUNTIF($D$6:$D$205,D106)&gt;1),"• اسم المستخدم مكرر ","")&amp;IF(AND(D106&lt;&gt;"",ISNUMBER(SEARCH(" ",D106))),"• اسم المستخدم فيه مسافة ","")&amp;IF(AND(E106&lt;&gt;"",OR(ISERROR(SEARCH("@",E106)),ISERROR(SEARCH(".",E106)))),"• البريد غير صحيح ","")&amp;IF(AND(F106&lt;&gt;"",OR(LEN(F106)&lt;&gt;10,LEFT(F106,2)&lt;&gt;"05",ISERROR(--F106))),"• الجوال ليس بصيغة 05XXXXXXXX ","")&amp;IF(AND(L106&lt;&gt;"",OR(LEN(L106)&lt;2,LEN(L106)&gt;6,ISERROR(--L106),ISNUMBER(SEARCH(".",L106)))),"• التحويلة يجب أن تكون 2-6 أرقام ","")&amp;IF(AND(L106&lt;&gt;"",COUNTIF($L$6:$L$205,L106)&gt;1),"• التحويلة مكررة ","")&amp;IF(AND(M106="نعم",L106=""),"• يجري مكالمات بدون تحويلة ","")&amp;IF(AND(K106&lt;&gt;"",COUNTIF($D$6:$D$205,K106)=0),"• المشرف غير موجود في الجدول ","")&amp;IF(AND(J106="موظف تحصيل",K106=""),"• موظف التحصيل يحتاج مشرفاً ","")&amp;IF(AND(O106&lt;&gt;"",P106=""),"• نوع الهدف بدون قيمة ","")))</f>
        <v/>
      </c>
    </row>
    <row r="107">
      <c r="A107" s="17">
        <f>IF(COUNTA(B107:R107)=0,"",ROW()-5)</f>
        <v/>
      </c>
      <c r="B107" s="18" t="n"/>
      <c r="C107" s="18" t="n"/>
      <c r="D107" s="18" t="n"/>
      <c r="E107" s="18" t="n"/>
      <c r="F107" s="18" t="n"/>
      <c r="G107" s="18" t="n"/>
      <c r="H107" s="10" t="n"/>
      <c r="I107" s="10" t="n"/>
      <c r="J107" s="10" t="n"/>
      <c r="K107" s="10" t="n"/>
      <c r="L107" s="18" t="n"/>
      <c r="M107" s="10" t="n"/>
      <c r="N107" s="18" t="n"/>
      <c r="O107" s="10" t="n"/>
      <c r="P107" s="19" t="n"/>
      <c r="Q107" s="10" t="n"/>
      <c r="R107" s="18" t="n"/>
      <c r="S107" s="20">
        <f>IF(COUNTA(B107:R107)=0,"",IF((IF(((B107="")+(C107="")+(D107="")+(E107="")+(F107="")+(H107="")+(I107="")+(J107="")+(M107="")+(Q107=""))&gt;0,"• حقول إلزامية ناقصة ","")&amp;IF(AND(D107&lt;&gt;"",COUNTIF($D$6:$D$205,D107)&gt;1),"• اسم المستخدم مكرر ","")&amp;IF(AND(D107&lt;&gt;"",ISNUMBER(SEARCH(" ",D107))),"• اسم المستخدم فيه مسافة ","")&amp;IF(AND(E107&lt;&gt;"",OR(ISERROR(SEARCH("@",E107)),ISERROR(SEARCH(".",E107)))),"• البريد غير صحيح ","")&amp;IF(AND(F107&lt;&gt;"",OR(LEN(F107)&lt;&gt;10,LEFT(F107,2)&lt;&gt;"05",ISERROR(--F107))),"• الجوال ليس بصيغة 05XXXXXXXX ","")&amp;IF(AND(L107&lt;&gt;"",OR(LEN(L107)&lt;2,LEN(L107)&gt;6,ISERROR(--L107),ISNUMBER(SEARCH(".",L107)))),"• التحويلة يجب أن تكون 2-6 أرقام ","")&amp;IF(AND(L107&lt;&gt;"",COUNTIF($L$6:$L$205,L107)&gt;1),"• التحويلة مكررة ","")&amp;IF(AND(M107="نعم",L107=""),"• يجري مكالمات بدون تحويلة ","")&amp;IF(AND(K107&lt;&gt;"",COUNTIF($D$6:$D$205,K107)=0),"• المشرف غير موجود في الجدول ","")&amp;IF(AND(J107="موظف تحصيل",K107=""),"• موظف التحصيل يحتاج مشرفاً ","")&amp;IF(AND(O107&lt;&gt;"",P107=""),"• نوع الهدف بدون قيمة ",""))="","✔ مكتمل",IF(((B107="")+(C107="")+(D107="")+(E107="")+(F107="")+(H107="")+(I107="")+(J107="")+(M107="")+(Q107=""))&gt;0,"• حقول إلزامية ناقصة ","")&amp;IF(AND(D107&lt;&gt;"",COUNTIF($D$6:$D$205,D107)&gt;1),"• اسم المستخدم مكرر ","")&amp;IF(AND(D107&lt;&gt;"",ISNUMBER(SEARCH(" ",D107))),"• اسم المستخدم فيه مسافة ","")&amp;IF(AND(E107&lt;&gt;"",OR(ISERROR(SEARCH("@",E107)),ISERROR(SEARCH(".",E107)))),"• البريد غير صحيح ","")&amp;IF(AND(F107&lt;&gt;"",OR(LEN(F107)&lt;&gt;10,LEFT(F107,2)&lt;&gt;"05",ISERROR(--F107))),"• الجوال ليس بصيغة 05XXXXXXXX ","")&amp;IF(AND(L107&lt;&gt;"",OR(LEN(L107)&lt;2,LEN(L107)&gt;6,ISERROR(--L107),ISNUMBER(SEARCH(".",L107)))),"• التحويلة يجب أن تكون 2-6 أرقام ","")&amp;IF(AND(L107&lt;&gt;"",COUNTIF($L$6:$L$205,L107)&gt;1),"• التحويلة مكررة ","")&amp;IF(AND(M107="نعم",L107=""),"• يجري مكالمات بدون تحويلة ","")&amp;IF(AND(K107&lt;&gt;"",COUNTIF($D$6:$D$205,K107)=0),"• المشرف غير موجود في الجدول ","")&amp;IF(AND(J107="موظف تحصيل",K107=""),"• موظف التحصيل يحتاج مشرفاً ","")&amp;IF(AND(O107&lt;&gt;"",P107=""),"• نوع الهدف بدون قيمة ","")))</f>
        <v/>
      </c>
    </row>
    <row r="108">
      <c r="A108" s="17">
        <f>IF(COUNTA(B108:R108)=0,"",ROW()-5)</f>
        <v/>
      </c>
      <c r="B108" s="18" t="n"/>
      <c r="C108" s="18" t="n"/>
      <c r="D108" s="18" t="n"/>
      <c r="E108" s="18" t="n"/>
      <c r="F108" s="18" t="n"/>
      <c r="G108" s="18" t="n"/>
      <c r="H108" s="10" t="n"/>
      <c r="I108" s="10" t="n"/>
      <c r="J108" s="10" t="n"/>
      <c r="K108" s="10" t="n"/>
      <c r="L108" s="18" t="n"/>
      <c r="M108" s="10" t="n"/>
      <c r="N108" s="18" t="n"/>
      <c r="O108" s="10" t="n"/>
      <c r="P108" s="19" t="n"/>
      <c r="Q108" s="10" t="n"/>
      <c r="R108" s="18" t="n"/>
      <c r="S108" s="20">
        <f>IF(COUNTA(B108:R108)=0,"",IF((IF(((B108="")+(C108="")+(D108="")+(E108="")+(F108="")+(H108="")+(I108="")+(J108="")+(M108="")+(Q108=""))&gt;0,"• حقول إلزامية ناقصة ","")&amp;IF(AND(D108&lt;&gt;"",COUNTIF($D$6:$D$205,D108)&gt;1),"• اسم المستخدم مكرر ","")&amp;IF(AND(D108&lt;&gt;"",ISNUMBER(SEARCH(" ",D108))),"• اسم المستخدم فيه مسافة ","")&amp;IF(AND(E108&lt;&gt;"",OR(ISERROR(SEARCH("@",E108)),ISERROR(SEARCH(".",E108)))),"• البريد غير صحيح ","")&amp;IF(AND(F108&lt;&gt;"",OR(LEN(F108)&lt;&gt;10,LEFT(F108,2)&lt;&gt;"05",ISERROR(--F108))),"• الجوال ليس بصيغة 05XXXXXXXX ","")&amp;IF(AND(L108&lt;&gt;"",OR(LEN(L108)&lt;2,LEN(L108)&gt;6,ISERROR(--L108),ISNUMBER(SEARCH(".",L108)))),"• التحويلة يجب أن تكون 2-6 أرقام ","")&amp;IF(AND(L108&lt;&gt;"",COUNTIF($L$6:$L$205,L108)&gt;1),"• التحويلة مكررة ","")&amp;IF(AND(M108="نعم",L108=""),"• يجري مكالمات بدون تحويلة ","")&amp;IF(AND(K108&lt;&gt;"",COUNTIF($D$6:$D$205,K108)=0),"• المشرف غير موجود في الجدول ","")&amp;IF(AND(J108="موظف تحصيل",K108=""),"• موظف التحصيل يحتاج مشرفاً ","")&amp;IF(AND(O108&lt;&gt;"",P108=""),"• نوع الهدف بدون قيمة ",""))="","✔ مكتمل",IF(((B108="")+(C108="")+(D108="")+(E108="")+(F108="")+(H108="")+(I108="")+(J108="")+(M108="")+(Q108=""))&gt;0,"• حقول إلزامية ناقصة ","")&amp;IF(AND(D108&lt;&gt;"",COUNTIF($D$6:$D$205,D108)&gt;1),"• اسم المستخدم مكرر ","")&amp;IF(AND(D108&lt;&gt;"",ISNUMBER(SEARCH(" ",D108))),"• اسم المستخدم فيه مسافة ","")&amp;IF(AND(E108&lt;&gt;"",OR(ISERROR(SEARCH("@",E108)),ISERROR(SEARCH(".",E108)))),"• البريد غير صحيح ","")&amp;IF(AND(F108&lt;&gt;"",OR(LEN(F108)&lt;&gt;10,LEFT(F108,2)&lt;&gt;"05",ISERROR(--F108))),"• الجوال ليس بصيغة 05XXXXXXXX ","")&amp;IF(AND(L108&lt;&gt;"",OR(LEN(L108)&lt;2,LEN(L108)&gt;6,ISERROR(--L108),ISNUMBER(SEARCH(".",L108)))),"• التحويلة يجب أن تكون 2-6 أرقام ","")&amp;IF(AND(L108&lt;&gt;"",COUNTIF($L$6:$L$205,L108)&gt;1),"• التحويلة مكررة ","")&amp;IF(AND(M108="نعم",L108=""),"• يجري مكالمات بدون تحويلة ","")&amp;IF(AND(K108&lt;&gt;"",COUNTIF($D$6:$D$205,K108)=0),"• المشرف غير موجود في الجدول ","")&amp;IF(AND(J108="موظف تحصيل",K108=""),"• موظف التحصيل يحتاج مشرفاً ","")&amp;IF(AND(O108&lt;&gt;"",P108=""),"• نوع الهدف بدون قيمة ","")))</f>
        <v/>
      </c>
    </row>
    <row r="109">
      <c r="A109" s="17">
        <f>IF(COUNTA(B109:R109)=0,"",ROW()-5)</f>
        <v/>
      </c>
      <c r="B109" s="18" t="n"/>
      <c r="C109" s="18" t="n"/>
      <c r="D109" s="18" t="n"/>
      <c r="E109" s="18" t="n"/>
      <c r="F109" s="18" t="n"/>
      <c r="G109" s="18" t="n"/>
      <c r="H109" s="10" t="n"/>
      <c r="I109" s="10" t="n"/>
      <c r="J109" s="10" t="n"/>
      <c r="K109" s="10" t="n"/>
      <c r="L109" s="18" t="n"/>
      <c r="M109" s="10" t="n"/>
      <c r="N109" s="18" t="n"/>
      <c r="O109" s="10" t="n"/>
      <c r="P109" s="19" t="n"/>
      <c r="Q109" s="10" t="n"/>
      <c r="R109" s="18" t="n"/>
      <c r="S109" s="20">
        <f>IF(COUNTA(B109:R109)=0,"",IF((IF(((B109="")+(C109="")+(D109="")+(E109="")+(F109="")+(H109="")+(I109="")+(J109="")+(M109="")+(Q109=""))&gt;0,"• حقول إلزامية ناقصة ","")&amp;IF(AND(D109&lt;&gt;"",COUNTIF($D$6:$D$205,D109)&gt;1),"• اسم المستخدم مكرر ","")&amp;IF(AND(D109&lt;&gt;"",ISNUMBER(SEARCH(" ",D109))),"• اسم المستخدم فيه مسافة ","")&amp;IF(AND(E109&lt;&gt;"",OR(ISERROR(SEARCH("@",E109)),ISERROR(SEARCH(".",E109)))),"• البريد غير صحيح ","")&amp;IF(AND(F109&lt;&gt;"",OR(LEN(F109)&lt;&gt;10,LEFT(F109,2)&lt;&gt;"05",ISERROR(--F109))),"• الجوال ليس بصيغة 05XXXXXXXX ","")&amp;IF(AND(L109&lt;&gt;"",OR(LEN(L109)&lt;2,LEN(L109)&gt;6,ISERROR(--L109),ISNUMBER(SEARCH(".",L109)))),"• التحويلة يجب أن تكون 2-6 أرقام ","")&amp;IF(AND(L109&lt;&gt;"",COUNTIF($L$6:$L$205,L109)&gt;1),"• التحويلة مكررة ","")&amp;IF(AND(M109="نعم",L109=""),"• يجري مكالمات بدون تحويلة ","")&amp;IF(AND(K109&lt;&gt;"",COUNTIF($D$6:$D$205,K109)=0),"• المشرف غير موجود في الجدول ","")&amp;IF(AND(J109="موظف تحصيل",K109=""),"• موظف التحصيل يحتاج مشرفاً ","")&amp;IF(AND(O109&lt;&gt;"",P109=""),"• نوع الهدف بدون قيمة ",""))="","✔ مكتمل",IF(((B109="")+(C109="")+(D109="")+(E109="")+(F109="")+(H109="")+(I109="")+(J109="")+(M109="")+(Q109=""))&gt;0,"• حقول إلزامية ناقصة ","")&amp;IF(AND(D109&lt;&gt;"",COUNTIF($D$6:$D$205,D109)&gt;1),"• اسم المستخدم مكرر ","")&amp;IF(AND(D109&lt;&gt;"",ISNUMBER(SEARCH(" ",D109))),"• اسم المستخدم فيه مسافة ","")&amp;IF(AND(E109&lt;&gt;"",OR(ISERROR(SEARCH("@",E109)),ISERROR(SEARCH(".",E109)))),"• البريد غير صحيح ","")&amp;IF(AND(F109&lt;&gt;"",OR(LEN(F109)&lt;&gt;10,LEFT(F109,2)&lt;&gt;"05",ISERROR(--F109))),"• الجوال ليس بصيغة 05XXXXXXXX ","")&amp;IF(AND(L109&lt;&gt;"",OR(LEN(L109)&lt;2,LEN(L109)&gt;6,ISERROR(--L109),ISNUMBER(SEARCH(".",L109)))),"• التحويلة يجب أن تكون 2-6 أرقام ","")&amp;IF(AND(L109&lt;&gt;"",COUNTIF($L$6:$L$205,L109)&gt;1),"• التحويلة مكررة ","")&amp;IF(AND(M109="نعم",L109=""),"• يجري مكالمات بدون تحويلة ","")&amp;IF(AND(K109&lt;&gt;"",COUNTIF($D$6:$D$205,K109)=0),"• المشرف غير موجود في الجدول ","")&amp;IF(AND(J109="موظف تحصيل",K109=""),"• موظف التحصيل يحتاج مشرفاً ","")&amp;IF(AND(O109&lt;&gt;"",P109=""),"• نوع الهدف بدون قيمة ","")))</f>
        <v/>
      </c>
    </row>
    <row r="110">
      <c r="A110" s="17">
        <f>IF(COUNTA(B110:R110)=0,"",ROW()-5)</f>
        <v/>
      </c>
      <c r="B110" s="18" t="n"/>
      <c r="C110" s="18" t="n"/>
      <c r="D110" s="18" t="n"/>
      <c r="E110" s="18" t="n"/>
      <c r="F110" s="18" t="n"/>
      <c r="G110" s="18" t="n"/>
      <c r="H110" s="10" t="n"/>
      <c r="I110" s="10" t="n"/>
      <c r="J110" s="10" t="n"/>
      <c r="K110" s="10" t="n"/>
      <c r="L110" s="18" t="n"/>
      <c r="M110" s="10" t="n"/>
      <c r="N110" s="18" t="n"/>
      <c r="O110" s="10" t="n"/>
      <c r="P110" s="19" t="n"/>
      <c r="Q110" s="10" t="n"/>
      <c r="R110" s="18" t="n"/>
      <c r="S110" s="20">
        <f>IF(COUNTA(B110:R110)=0,"",IF((IF(((B110="")+(C110="")+(D110="")+(E110="")+(F110="")+(H110="")+(I110="")+(J110="")+(M110="")+(Q110=""))&gt;0,"• حقول إلزامية ناقصة ","")&amp;IF(AND(D110&lt;&gt;"",COUNTIF($D$6:$D$205,D110)&gt;1),"• اسم المستخدم مكرر ","")&amp;IF(AND(D110&lt;&gt;"",ISNUMBER(SEARCH(" ",D110))),"• اسم المستخدم فيه مسافة ","")&amp;IF(AND(E110&lt;&gt;"",OR(ISERROR(SEARCH("@",E110)),ISERROR(SEARCH(".",E110)))),"• البريد غير صحيح ","")&amp;IF(AND(F110&lt;&gt;"",OR(LEN(F110)&lt;&gt;10,LEFT(F110,2)&lt;&gt;"05",ISERROR(--F110))),"• الجوال ليس بصيغة 05XXXXXXXX ","")&amp;IF(AND(L110&lt;&gt;"",OR(LEN(L110)&lt;2,LEN(L110)&gt;6,ISERROR(--L110),ISNUMBER(SEARCH(".",L110)))),"• التحويلة يجب أن تكون 2-6 أرقام ","")&amp;IF(AND(L110&lt;&gt;"",COUNTIF($L$6:$L$205,L110)&gt;1),"• التحويلة مكررة ","")&amp;IF(AND(M110="نعم",L110=""),"• يجري مكالمات بدون تحويلة ","")&amp;IF(AND(K110&lt;&gt;"",COUNTIF($D$6:$D$205,K110)=0),"• المشرف غير موجود في الجدول ","")&amp;IF(AND(J110="موظف تحصيل",K110=""),"• موظف التحصيل يحتاج مشرفاً ","")&amp;IF(AND(O110&lt;&gt;"",P110=""),"• نوع الهدف بدون قيمة ",""))="","✔ مكتمل",IF(((B110="")+(C110="")+(D110="")+(E110="")+(F110="")+(H110="")+(I110="")+(J110="")+(M110="")+(Q110=""))&gt;0,"• حقول إلزامية ناقصة ","")&amp;IF(AND(D110&lt;&gt;"",COUNTIF($D$6:$D$205,D110)&gt;1),"• اسم المستخدم مكرر ","")&amp;IF(AND(D110&lt;&gt;"",ISNUMBER(SEARCH(" ",D110))),"• اسم المستخدم فيه مسافة ","")&amp;IF(AND(E110&lt;&gt;"",OR(ISERROR(SEARCH("@",E110)),ISERROR(SEARCH(".",E110)))),"• البريد غير صحيح ","")&amp;IF(AND(F110&lt;&gt;"",OR(LEN(F110)&lt;&gt;10,LEFT(F110,2)&lt;&gt;"05",ISERROR(--F110))),"• الجوال ليس بصيغة 05XXXXXXXX ","")&amp;IF(AND(L110&lt;&gt;"",OR(LEN(L110)&lt;2,LEN(L110)&gt;6,ISERROR(--L110),ISNUMBER(SEARCH(".",L110)))),"• التحويلة يجب أن تكون 2-6 أرقام ","")&amp;IF(AND(L110&lt;&gt;"",COUNTIF($L$6:$L$205,L110)&gt;1),"• التحويلة مكررة ","")&amp;IF(AND(M110="نعم",L110=""),"• يجري مكالمات بدون تحويلة ","")&amp;IF(AND(K110&lt;&gt;"",COUNTIF($D$6:$D$205,K110)=0),"• المشرف غير موجود في الجدول ","")&amp;IF(AND(J110="موظف تحصيل",K110=""),"• موظف التحصيل يحتاج مشرفاً ","")&amp;IF(AND(O110&lt;&gt;"",P110=""),"• نوع الهدف بدون قيمة ","")))</f>
        <v/>
      </c>
    </row>
    <row r="111">
      <c r="A111" s="17">
        <f>IF(COUNTA(B111:R111)=0,"",ROW()-5)</f>
        <v/>
      </c>
      <c r="B111" s="18" t="n"/>
      <c r="C111" s="18" t="n"/>
      <c r="D111" s="18" t="n"/>
      <c r="E111" s="18" t="n"/>
      <c r="F111" s="18" t="n"/>
      <c r="G111" s="18" t="n"/>
      <c r="H111" s="10" t="n"/>
      <c r="I111" s="10" t="n"/>
      <c r="J111" s="10" t="n"/>
      <c r="K111" s="10" t="n"/>
      <c r="L111" s="18" t="n"/>
      <c r="M111" s="10" t="n"/>
      <c r="N111" s="18" t="n"/>
      <c r="O111" s="10" t="n"/>
      <c r="P111" s="19" t="n"/>
      <c r="Q111" s="10" t="n"/>
      <c r="R111" s="18" t="n"/>
      <c r="S111" s="20">
        <f>IF(COUNTA(B111:R111)=0,"",IF((IF(((B111="")+(C111="")+(D111="")+(E111="")+(F111="")+(H111="")+(I111="")+(J111="")+(M111="")+(Q111=""))&gt;0,"• حقول إلزامية ناقصة ","")&amp;IF(AND(D111&lt;&gt;"",COUNTIF($D$6:$D$205,D111)&gt;1),"• اسم المستخدم مكرر ","")&amp;IF(AND(D111&lt;&gt;"",ISNUMBER(SEARCH(" ",D111))),"• اسم المستخدم فيه مسافة ","")&amp;IF(AND(E111&lt;&gt;"",OR(ISERROR(SEARCH("@",E111)),ISERROR(SEARCH(".",E111)))),"• البريد غير صحيح ","")&amp;IF(AND(F111&lt;&gt;"",OR(LEN(F111)&lt;&gt;10,LEFT(F111,2)&lt;&gt;"05",ISERROR(--F111))),"• الجوال ليس بصيغة 05XXXXXXXX ","")&amp;IF(AND(L111&lt;&gt;"",OR(LEN(L111)&lt;2,LEN(L111)&gt;6,ISERROR(--L111),ISNUMBER(SEARCH(".",L111)))),"• التحويلة يجب أن تكون 2-6 أرقام ","")&amp;IF(AND(L111&lt;&gt;"",COUNTIF($L$6:$L$205,L111)&gt;1),"• التحويلة مكررة ","")&amp;IF(AND(M111="نعم",L111=""),"• يجري مكالمات بدون تحويلة ","")&amp;IF(AND(K111&lt;&gt;"",COUNTIF($D$6:$D$205,K111)=0),"• المشرف غير موجود في الجدول ","")&amp;IF(AND(J111="موظف تحصيل",K111=""),"• موظف التحصيل يحتاج مشرفاً ","")&amp;IF(AND(O111&lt;&gt;"",P111=""),"• نوع الهدف بدون قيمة ",""))="","✔ مكتمل",IF(((B111="")+(C111="")+(D111="")+(E111="")+(F111="")+(H111="")+(I111="")+(J111="")+(M111="")+(Q111=""))&gt;0,"• حقول إلزامية ناقصة ","")&amp;IF(AND(D111&lt;&gt;"",COUNTIF($D$6:$D$205,D111)&gt;1),"• اسم المستخدم مكرر ","")&amp;IF(AND(D111&lt;&gt;"",ISNUMBER(SEARCH(" ",D111))),"• اسم المستخدم فيه مسافة ","")&amp;IF(AND(E111&lt;&gt;"",OR(ISERROR(SEARCH("@",E111)),ISERROR(SEARCH(".",E111)))),"• البريد غير صحيح ","")&amp;IF(AND(F111&lt;&gt;"",OR(LEN(F111)&lt;&gt;10,LEFT(F111,2)&lt;&gt;"05",ISERROR(--F111))),"• الجوال ليس بصيغة 05XXXXXXXX ","")&amp;IF(AND(L111&lt;&gt;"",OR(LEN(L111)&lt;2,LEN(L111)&gt;6,ISERROR(--L111),ISNUMBER(SEARCH(".",L111)))),"• التحويلة يجب أن تكون 2-6 أرقام ","")&amp;IF(AND(L111&lt;&gt;"",COUNTIF($L$6:$L$205,L111)&gt;1),"• التحويلة مكررة ","")&amp;IF(AND(M111="نعم",L111=""),"• يجري مكالمات بدون تحويلة ","")&amp;IF(AND(K111&lt;&gt;"",COUNTIF($D$6:$D$205,K111)=0),"• المشرف غير موجود في الجدول ","")&amp;IF(AND(J111="موظف تحصيل",K111=""),"• موظف التحصيل يحتاج مشرفاً ","")&amp;IF(AND(O111&lt;&gt;"",P111=""),"• نوع الهدف بدون قيمة ","")))</f>
        <v/>
      </c>
    </row>
    <row r="112">
      <c r="A112" s="17">
        <f>IF(COUNTA(B112:R112)=0,"",ROW()-5)</f>
        <v/>
      </c>
      <c r="B112" s="18" t="n"/>
      <c r="C112" s="18" t="n"/>
      <c r="D112" s="18" t="n"/>
      <c r="E112" s="18" t="n"/>
      <c r="F112" s="18" t="n"/>
      <c r="G112" s="18" t="n"/>
      <c r="H112" s="10" t="n"/>
      <c r="I112" s="10" t="n"/>
      <c r="J112" s="10" t="n"/>
      <c r="K112" s="10" t="n"/>
      <c r="L112" s="18" t="n"/>
      <c r="M112" s="10" t="n"/>
      <c r="N112" s="18" t="n"/>
      <c r="O112" s="10" t="n"/>
      <c r="P112" s="19" t="n"/>
      <c r="Q112" s="10" t="n"/>
      <c r="R112" s="18" t="n"/>
      <c r="S112" s="20">
        <f>IF(COUNTA(B112:R112)=0,"",IF((IF(((B112="")+(C112="")+(D112="")+(E112="")+(F112="")+(H112="")+(I112="")+(J112="")+(M112="")+(Q112=""))&gt;0,"• حقول إلزامية ناقصة ","")&amp;IF(AND(D112&lt;&gt;"",COUNTIF($D$6:$D$205,D112)&gt;1),"• اسم المستخدم مكرر ","")&amp;IF(AND(D112&lt;&gt;"",ISNUMBER(SEARCH(" ",D112))),"• اسم المستخدم فيه مسافة ","")&amp;IF(AND(E112&lt;&gt;"",OR(ISERROR(SEARCH("@",E112)),ISERROR(SEARCH(".",E112)))),"• البريد غير صحيح ","")&amp;IF(AND(F112&lt;&gt;"",OR(LEN(F112)&lt;&gt;10,LEFT(F112,2)&lt;&gt;"05",ISERROR(--F112))),"• الجوال ليس بصيغة 05XXXXXXXX ","")&amp;IF(AND(L112&lt;&gt;"",OR(LEN(L112)&lt;2,LEN(L112)&gt;6,ISERROR(--L112),ISNUMBER(SEARCH(".",L112)))),"• التحويلة يجب أن تكون 2-6 أرقام ","")&amp;IF(AND(L112&lt;&gt;"",COUNTIF($L$6:$L$205,L112)&gt;1),"• التحويلة مكررة ","")&amp;IF(AND(M112="نعم",L112=""),"• يجري مكالمات بدون تحويلة ","")&amp;IF(AND(K112&lt;&gt;"",COUNTIF($D$6:$D$205,K112)=0),"• المشرف غير موجود في الجدول ","")&amp;IF(AND(J112="موظف تحصيل",K112=""),"• موظف التحصيل يحتاج مشرفاً ","")&amp;IF(AND(O112&lt;&gt;"",P112=""),"• نوع الهدف بدون قيمة ",""))="","✔ مكتمل",IF(((B112="")+(C112="")+(D112="")+(E112="")+(F112="")+(H112="")+(I112="")+(J112="")+(M112="")+(Q112=""))&gt;0,"• حقول إلزامية ناقصة ","")&amp;IF(AND(D112&lt;&gt;"",COUNTIF($D$6:$D$205,D112)&gt;1),"• اسم المستخدم مكرر ","")&amp;IF(AND(D112&lt;&gt;"",ISNUMBER(SEARCH(" ",D112))),"• اسم المستخدم فيه مسافة ","")&amp;IF(AND(E112&lt;&gt;"",OR(ISERROR(SEARCH("@",E112)),ISERROR(SEARCH(".",E112)))),"• البريد غير صحيح ","")&amp;IF(AND(F112&lt;&gt;"",OR(LEN(F112)&lt;&gt;10,LEFT(F112,2)&lt;&gt;"05",ISERROR(--F112))),"• الجوال ليس بصيغة 05XXXXXXXX ","")&amp;IF(AND(L112&lt;&gt;"",OR(LEN(L112)&lt;2,LEN(L112)&gt;6,ISERROR(--L112),ISNUMBER(SEARCH(".",L112)))),"• التحويلة يجب أن تكون 2-6 أرقام ","")&amp;IF(AND(L112&lt;&gt;"",COUNTIF($L$6:$L$205,L112)&gt;1),"• التحويلة مكررة ","")&amp;IF(AND(M112="نعم",L112=""),"• يجري مكالمات بدون تحويلة ","")&amp;IF(AND(K112&lt;&gt;"",COUNTIF($D$6:$D$205,K112)=0),"• المشرف غير موجود في الجدول ","")&amp;IF(AND(J112="موظف تحصيل",K112=""),"• موظف التحصيل يحتاج مشرفاً ","")&amp;IF(AND(O112&lt;&gt;"",P112=""),"• نوع الهدف بدون قيمة ","")))</f>
        <v/>
      </c>
    </row>
    <row r="113">
      <c r="A113" s="17">
        <f>IF(COUNTA(B113:R113)=0,"",ROW()-5)</f>
        <v/>
      </c>
      <c r="B113" s="18" t="n"/>
      <c r="C113" s="18" t="n"/>
      <c r="D113" s="18" t="n"/>
      <c r="E113" s="18" t="n"/>
      <c r="F113" s="18" t="n"/>
      <c r="G113" s="18" t="n"/>
      <c r="H113" s="10" t="n"/>
      <c r="I113" s="10" t="n"/>
      <c r="J113" s="10" t="n"/>
      <c r="K113" s="10" t="n"/>
      <c r="L113" s="18" t="n"/>
      <c r="M113" s="10" t="n"/>
      <c r="N113" s="18" t="n"/>
      <c r="O113" s="10" t="n"/>
      <c r="P113" s="19" t="n"/>
      <c r="Q113" s="10" t="n"/>
      <c r="R113" s="18" t="n"/>
      <c r="S113" s="20">
        <f>IF(COUNTA(B113:R113)=0,"",IF((IF(((B113="")+(C113="")+(D113="")+(E113="")+(F113="")+(H113="")+(I113="")+(J113="")+(M113="")+(Q113=""))&gt;0,"• حقول إلزامية ناقصة ","")&amp;IF(AND(D113&lt;&gt;"",COUNTIF($D$6:$D$205,D113)&gt;1),"• اسم المستخدم مكرر ","")&amp;IF(AND(D113&lt;&gt;"",ISNUMBER(SEARCH(" ",D113))),"• اسم المستخدم فيه مسافة ","")&amp;IF(AND(E113&lt;&gt;"",OR(ISERROR(SEARCH("@",E113)),ISERROR(SEARCH(".",E113)))),"• البريد غير صحيح ","")&amp;IF(AND(F113&lt;&gt;"",OR(LEN(F113)&lt;&gt;10,LEFT(F113,2)&lt;&gt;"05",ISERROR(--F113))),"• الجوال ليس بصيغة 05XXXXXXXX ","")&amp;IF(AND(L113&lt;&gt;"",OR(LEN(L113)&lt;2,LEN(L113)&gt;6,ISERROR(--L113),ISNUMBER(SEARCH(".",L113)))),"• التحويلة يجب أن تكون 2-6 أرقام ","")&amp;IF(AND(L113&lt;&gt;"",COUNTIF($L$6:$L$205,L113)&gt;1),"• التحويلة مكررة ","")&amp;IF(AND(M113="نعم",L113=""),"• يجري مكالمات بدون تحويلة ","")&amp;IF(AND(K113&lt;&gt;"",COUNTIF($D$6:$D$205,K113)=0),"• المشرف غير موجود في الجدول ","")&amp;IF(AND(J113="موظف تحصيل",K113=""),"• موظف التحصيل يحتاج مشرفاً ","")&amp;IF(AND(O113&lt;&gt;"",P113=""),"• نوع الهدف بدون قيمة ",""))="","✔ مكتمل",IF(((B113="")+(C113="")+(D113="")+(E113="")+(F113="")+(H113="")+(I113="")+(J113="")+(M113="")+(Q113=""))&gt;0,"• حقول إلزامية ناقصة ","")&amp;IF(AND(D113&lt;&gt;"",COUNTIF($D$6:$D$205,D113)&gt;1),"• اسم المستخدم مكرر ","")&amp;IF(AND(D113&lt;&gt;"",ISNUMBER(SEARCH(" ",D113))),"• اسم المستخدم فيه مسافة ","")&amp;IF(AND(E113&lt;&gt;"",OR(ISERROR(SEARCH("@",E113)),ISERROR(SEARCH(".",E113)))),"• البريد غير صحيح ","")&amp;IF(AND(F113&lt;&gt;"",OR(LEN(F113)&lt;&gt;10,LEFT(F113,2)&lt;&gt;"05",ISERROR(--F113))),"• الجوال ليس بصيغة 05XXXXXXXX ","")&amp;IF(AND(L113&lt;&gt;"",OR(LEN(L113)&lt;2,LEN(L113)&gt;6,ISERROR(--L113),ISNUMBER(SEARCH(".",L113)))),"• التحويلة يجب أن تكون 2-6 أرقام ","")&amp;IF(AND(L113&lt;&gt;"",COUNTIF($L$6:$L$205,L113)&gt;1),"• التحويلة مكررة ","")&amp;IF(AND(M113="نعم",L113=""),"• يجري مكالمات بدون تحويلة ","")&amp;IF(AND(K113&lt;&gt;"",COUNTIF($D$6:$D$205,K113)=0),"• المشرف غير موجود في الجدول ","")&amp;IF(AND(J113="موظف تحصيل",K113=""),"• موظف التحصيل يحتاج مشرفاً ","")&amp;IF(AND(O113&lt;&gt;"",P113=""),"• نوع الهدف بدون قيمة ","")))</f>
        <v/>
      </c>
    </row>
    <row r="114">
      <c r="A114" s="17">
        <f>IF(COUNTA(B114:R114)=0,"",ROW()-5)</f>
        <v/>
      </c>
      <c r="B114" s="18" t="n"/>
      <c r="C114" s="18" t="n"/>
      <c r="D114" s="18" t="n"/>
      <c r="E114" s="18" t="n"/>
      <c r="F114" s="18" t="n"/>
      <c r="G114" s="18" t="n"/>
      <c r="H114" s="10" t="n"/>
      <c r="I114" s="10" t="n"/>
      <c r="J114" s="10" t="n"/>
      <c r="K114" s="10" t="n"/>
      <c r="L114" s="18" t="n"/>
      <c r="M114" s="10" t="n"/>
      <c r="N114" s="18" t="n"/>
      <c r="O114" s="10" t="n"/>
      <c r="P114" s="19" t="n"/>
      <c r="Q114" s="10" t="n"/>
      <c r="R114" s="18" t="n"/>
      <c r="S114" s="20">
        <f>IF(COUNTA(B114:R114)=0,"",IF((IF(((B114="")+(C114="")+(D114="")+(E114="")+(F114="")+(H114="")+(I114="")+(J114="")+(M114="")+(Q114=""))&gt;0,"• حقول إلزامية ناقصة ","")&amp;IF(AND(D114&lt;&gt;"",COUNTIF($D$6:$D$205,D114)&gt;1),"• اسم المستخدم مكرر ","")&amp;IF(AND(D114&lt;&gt;"",ISNUMBER(SEARCH(" ",D114))),"• اسم المستخدم فيه مسافة ","")&amp;IF(AND(E114&lt;&gt;"",OR(ISERROR(SEARCH("@",E114)),ISERROR(SEARCH(".",E114)))),"• البريد غير صحيح ","")&amp;IF(AND(F114&lt;&gt;"",OR(LEN(F114)&lt;&gt;10,LEFT(F114,2)&lt;&gt;"05",ISERROR(--F114))),"• الجوال ليس بصيغة 05XXXXXXXX ","")&amp;IF(AND(L114&lt;&gt;"",OR(LEN(L114)&lt;2,LEN(L114)&gt;6,ISERROR(--L114),ISNUMBER(SEARCH(".",L114)))),"• التحويلة يجب أن تكون 2-6 أرقام ","")&amp;IF(AND(L114&lt;&gt;"",COUNTIF($L$6:$L$205,L114)&gt;1),"• التحويلة مكررة ","")&amp;IF(AND(M114="نعم",L114=""),"• يجري مكالمات بدون تحويلة ","")&amp;IF(AND(K114&lt;&gt;"",COUNTIF($D$6:$D$205,K114)=0),"• المشرف غير موجود في الجدول ","")&amp;IF(AND(J114="موظف تحصيل",K114=""),"• موظف التحصيل يحتاج مشرفاً ","")&amp;IF(AND(O114&lt;&gt;"",P114=""),"• نوع الهدف بدون قيمة ",""))="","✔ مكتمل",IF(((B114="")+(C114="")+(D114="")+(E114="")+(F114="")+(H114="")+(I114="")+(J114="")+(M114="")+(Q114=""))&gt;0,"• حقول إلزامية ناقصة ","")&amp;IF(AND(D114&lt;&gt;"",COUNTIF($D$6:$D$205,D114)&gt;1),"• اسم المستخدم مكرر ","")&amp;IF(AND(D114&lt;&gt;"",ISNUMBER(SEARCH(" ",D114))),"• اسم المستخدم فيه مسافة ","")&amp;IF(AND(E114&lt;&gt;"",OR(ISERROR(SEARCH("@",E114)),ISERROR(SEARCH(".",E114)))),"• البريد غير صحيح ","")&amp;IF(AND(F114&lt;&gt;"",OR(LEN(F114)&lt;&gt;10,LEFT(F114,2)&lt;&gt;"05",ISERROR(--F114))),"• الجوال ليس بصيغة 05XXXXXXXX ","")&amp;IF(AND(L114&lt;&gt;"",OR(LEN(L114)&lt;2,LEN(L114)&gt;6,ISERROR(--L114),ISNUMBER(SEARCH(".",L114)))),"• التحويلة يجب أن تكون 2-6 أرقام ","")&amp;IF(AND(L114&lt;&gt;"",COUNTIF($L$6:$L$205,L114)&gt;1),"• التحويلة مكررة ","")&amp;IF(AND(M114="نعم",L114=""),"• يجري مكالمات بدون تحويلة ","")&amp;IF(AND(K114&lt;&gt;"",COUNTIF($D$6:$D$205,K114)=0),"• المشرف غير موجود في الجدول ","")&amp;IF(AND(J114="موظف تحصيل",K114=""),"• موظف التحصيل يحتاج مشرفاً ","")&amp;IF(AND(O114&lt;&gt;"",P114=""),"• نوع الهدف بدون قيمة ","")))</f>
        <v/>
      </c>
    </row>
    <row r="115">
      <c r="A115" s="17">
        <f>IF(COUNTA(B115:R115)=0,"",ROW()-5)</f>
        <v/>
      </c>
      <c r="B115" s="18" t="n"/>
      <c r="C115" s="18" t="n"/>
      <c r="D115" s="18" t="n"/>
      <c r="E115" s="18" t="n"/>
      <c r="F115" s="18" t="n"/>
      <c r="G115" s="18" t="n"/>
      <c r="H115" s="10" t="n"/>
      <c r="I115" s="10" t="n"/>
      <c r="J115" s="10" t="n"/>
      <c r="K115" s="10" t="n"/>
      <c r="L115" s="18" t="n"/>
      <c r="M115" s="10" t="n"/>
      <c r="N115" s="18" t="n"/>
      <c r="O115" s="10" t="n"/>
      <c r="P115" s="19" t="n"/>
      <c r="Q115" s="10" t="n"/>
      <c r="R115" s="18" t="n"/>
      <c r="S115" s="20">
        <f>IF(COUNTA(B115:R115)=0,"",IF((IF(((B115="")+(C115="")+(D115="")+(E115="")+(F115="")+(H115="")+(I115="")+(J115="")+(M115="")+(Q115=""))&gt;0,"• حقول إلزامية ناقصة ","")&amp;IF(AND(D115&lt;&gt;"",COUNTIF($D$6:$D$205,D115)&gt;1),"• اسم المستخدم مكرر ","")&amp;IF(AND(D115&lt;&gt;"",ISNUMBER(SEARCH(" ",D115))),"• اسم المستخدم فيه مسافة ","")&amp;IF(AND(E115&lt;&gt;"",OR(ISERROR(SEARCH("@",E115)),ISERROR(SEARCH(".",E115)))),"• البريد غير صحيح ","")&amp;IF(AND(F115&lt;&gt;"",OR(LEN(F115)&lt;&gt;10,LEFT(F115,2)&lt;&gt;"05",ISERROR(--F115))),"• الجوال ليس بصيغة 05XXXXXXXX ","")&amp;IF(AND(L115&lt;&gt;"",OR(LEN(L115)&lt;2,LEN(L115)&gt;6,ISERROR(--L115),ISNUMBER(SEARCH(".",L115)))),"• التحويلة يجب أن تكون 2-6 أرقام ","")&amp;IF(AND(L115&lt;&gt;"",COUNTIF($L$6:$L$205,L115)&gt;1),"• التحويلة مكررة ","")&amp;IF(AND(M115="نعم",L115=""),"• يجري مكالمات بدون تحويلة ","")&amp;IF(AND(K115&lt;&gt;"",COUNTIF($D$6:$D$205,K115)=0),"• المشرف غير موجود في الجدول ","")&amp;IF(AND(J115="موظف تحصيل",K115=""),"• موظف التحصيل يحتاج مشرفاً ","")&amp;IF(AND(O115&lt;&gt;"",P115=""),"• نوع الهدف بدون قيمة ",""))="","✔ مكتمل",IF(((B115="")+(C115="")+(D115="")+(E115="")+(F115="")+(H115="")+(I115="")+(J115="")+(M115="")+(Q115=""))&gt;0,"• حقول إلزامية ناقصة ","")&amp;IF(AND(D115&lt;&gt;"",COUNTIF($D$6:$D$205,D115)&gt;1),"• اسم المستخدم مكرر ","")&amp;IF(AND(D115&lt;&gt;"",ISNUMBER(SEARCH(" ",D115))),"• اسم المستخدم فيه مسافة ","")&amp;IF(AND(E115&lt;&gt;"",OR(ISERROR(SEARCH("@",E115)),ISERROR(SEARCH(".",E115)))),"• البريد غير صحيح ","")&amp;IF(AND(F115&lt;&gt;"",OR(LEN(F115)&lt;&gt;10,LEFT(F115,2)&lt;&gt;"05",ISERROR(--F115))),"• الجوال ليس بصيغة 05XXXXXXXX ","")&amp;IF(AND(L115&lt;&gt;"",OR(LEN(L115)&lt;2,LEN(L115)&gt;6,ISERROR(--L115),ISNUMBER(SEARCH(".",L115)))),"• التحويلة يجب أن تكون 2-6 أرقام ","")&amp;IF(AND(L115&lt;&gt;"",COUNTIF($L$6:$L$205,L115)&gt;1),"• التحويلة مكررة ","")&amp;IF(AND(M115="نعم",L115=""),"• يجري مكالمات بدون تحويلة ","")&amp;IF(AND(K115&lt;&gt;"",COUNTIF($D$6:$D$205,K115)=0),"• المشرف غير موجود في الجدول ","")&amp;IF(AND(J115="موظف تحصيل",K115=""),"• موظف التحصيل يحتاج مشرفاً ","")&amp;IF(AND(O115&lt;&gt;"",P115=""),"• نوع الهدف بدون قيمة ","")))</f>
        <v/>
      </c>
    </row>
    <row r="116">
      <c r="A116" s="17">
        <f>IF(COUNTA(B116:R116)=0,"",ROW()-5)</f>
        <v/>
      </c>
      <c r="B116" s="18" t="n"/>
      <c r="C116" s="18" t="n"/>
      <c r="D116" s="18" t="n"/>
      <c r="E116" s="18" t="n"/>
      <c r="F116" s="18" t="n"/>
      <c r="G116" s="18" t="n"/>
      <c r="H116" s="10" t="n"/>
      <c r="I116" s="10" t="n"/>
      <c r="J116" s="10" t="n"/>
      <c r="K116" s="10" t="n"/>
      <c r="L116" s="18" t="n"/>
      <c r="M116" s="10" t="n"/>
      <c r="N116" s="18" t="n"/>
      <c r="O116" s="10" t="n"/>
      <c r="P116" s="19" t="n"/>
      <c r="Q116" s="10" t="n"/>
      <c r="R116" s="18" t="n"/>
      <c r="S116" s="20">
        <f>IF(COUNTA(B116:R116)=0,"",IF((IF(((B116="")+(C116="")+(D116="")+(E116="")+(F116="")+(H116="")+(I116="")+(J116="")+(M116="")+(Q116=""))&gt;0,"• حقول إلزامية ناقصة ","")&amp;IF(AND(D116&lt;&gt;"",COUNTIF($D$6:$D$205,D116)&gt;1),"• اسم المستخدم مكرر ","")&amp;IF(AND(D116&lt;&gt;"",ISNUMBER(SEARCH(" ",D116))),"• اسم المستخدم فيه مسافة ","")&amp;IF(AND(E116&lt;&gt;"",OR(ISERROR(SEARCH("@",E116)),ISERROR(SEARCH(".",E116)))),"• البريد غير صحيح ","")&amp;IF(AND(F116&lt;&gt;"",OR(LEN(F116)&lt;&gt;10,LEFT(F116,2)&lt;&gt;"05",ISERROR(--F116))),"• الجوال ليس بصيغة 05XXXXXXXX ","")&amp;IF(AND(L116&lt;&gt;"",OR(LEN(L116)&lt;2,LEN(L116)&gt;6,ISERROR(--L116),ISNUMBER(SEARCH(".",L116)))),"• التحويلة يجب أن تكون 2-6 أرقام ","")&amp;IF(AND(L116&lt;&gt;"",COUNTIF($L$6:$L$205,L116)&gt;1),"• التحويلة مكررة ","")&amp;IF(AND(M116="نعم",L116=""),"• يجري مكالمات بدون تحويلة ","")&amp;IF(AND(K116&lt;&gt;"",COUNTIF($D$6:$D$205,K116)=0),"• المشرف غير موجود في الجدول ","")&amp;IF(AND(J116="موظف تحصيل",K116=""),"• موظف التحصيل يحتاج مشرفاً ","")&amp;IF(AND(O116&lt;&gt;"",P116=""),"• نوع الهدف بدون قيمة ",""))="","✔ مكتمل",IF(((B116="")+(C116="")+(D116="")+(E116="")+(F116="")+(H116="")+(I116="")+(J116="")+(M116="")+(Q116=""))&gt;0,"• حقول إلزامية ناقصة ","")&amp;IF(AND(D116&lt;&gt;"",COUNTIF($D$6:$D$205,D116)&gt;1),"• اسم المستخدم مكرر ","")&amp;IF(AND(D116&lt;&gt;"",ISNUMBER(SEARCH(" ",D116))),"• اسم المستخدم فيه مسافة ","")&amp;IF(AND(E116&lt;&gt;"",OR(ISERROR(SEARCH("@",E116)),ISERROR(SEARCH(".",E116)))),"• البريد غير صحيح ","")&amp;IF(AND(F116&lt;&gt;"",OR(LEN(F116)&lt;&gt;10,LEFT(F116,2)&lt;&gt;"05",ISERROR(--F116))),"• الجوال ليس بصيغة 05XXXXXXXX ","")&amp;IF(AND(L116&lt;&gt;"",OR(LEN(L116)&lt;2,LEN(L116)&gt;6,ISERROR(--L116),ISNUMBER(SEARCH(".",L116)))),"• التحويلة يجب أن تكون 2-6 أرقام ","")&amp;IF(AND(L116&lt;&gt;"",COUNTIF($L$6:$L$205,L116)&gt;1),"• التحويلة مكررة ","")&amp;IF(AND(M116="نعم",L116=""),"• يجري مكالمات بدون تحويلة ","")&amp;IF(AND(K116&lt;&gt;"",COUNTIF($D$6:$D$205,K116)=0),"• المشرف غير موجود في الجدول ","")&amp;IF(AND(J116="موظف تحصيل",K116=""),"• موظف التحصيل يحتاج مشرفاً ","")&amp;IF(AND(O116&lt;&gt;"",P116=""),"• نوع الهدف بدون قيمة ","")))</f>
        <v/>
      </c>
    </row>
    <row r="117">
      <c r="A117" s="17">
        <f>IF(COUNTA(B117:R117)=0,"",ROW()-5)</f>
        <v/>
      </c>
      <c r="B117" s="18" t="n"/>
      <c r="C117" s="18" t="n"/>
      <c r="D117" s="18" t="n"/>
      <c r="E117" s="18" t="n"/>
      <c r="F117" s="18" t="n"/>
      <c r="G117" s="18" t="n"/>
      <c r="H117" s="10" t="n"/>
      <c r="I117" s="10" t="n"/>
      <c r="J117" s="10" t="n"/>
      <c r="K117" s="10" t="n"/>
      <c r="L117" s="18" t="n"/>
      <c r="M117" s="10" t="n"/>
      <c r="N117" s="18" t="n"/>
      <c r="O117" s="10" t="n"/>
      <c r="P117" s="19" t="n"/>
      <c r="Q117" s="10" t="n"/>
      <c r="R117" s="18" t="n"/>
      <c r="S117" s="20">
        <f>IF(COUNTA(B117:R117)=0,"",IF((IF(((B117="")+(C117="")+(D117="")+(E117="")+(F117="")+(H117="")+(I117="")+(J117="")+(M117="")+(Q117=""))&gt;0,"• حقول إلزامية ناقصة ","")&amp;IF(AND(D117&lt;&gt;"",COUNTIF($D$6:$D$205,D117)&gt;1),"• اسم المستخدم مكرر ","")&amp;IF(AND(D117&lt;&gt;"",ISNUMBER(SEARCH(" ",D117))),"• اسم المستخدم فيه مسافة ","")&amp;IF(AND(E117&lt;&gt;"",OR(ISERROR(SEARCH("@",E117)),ISERROR(SEARCH(".",E117)))),"• البريد غير صحيح ","")&amp;IF(AND(F117&lt;&gt;"",OR(LEN(F117)&lt;&gt;10,LEFT(F117,2)&lt;&gt;"05",ISERROR(--F117))),"• الجوال ليس بصيغة 05XXXXXXXX ","")&amp;IF(AND(L117&lt;&gt;"",OR(LEN(L117)&lt;2,LEN(L117)&gt;6,ISERROR(--L117),ISNUMBER(SEARCH(".",L117)))),"• التحويلة يجب أن تكون 2-6 أرقام ","")&amp;IF(AND(L117&lt;&gt;"",COUNTIF($L$6:$L$205,L117)&gt;1),"• التحويلة مكررة ","")&amp;IF(AND(M117="نعم",L117=""),"• يجري مكالمات بدون تحويلة ","")&amp;IF(AND(K117&lt;&gt;"",COUNTIF($D$6:$D$205,K117)=0),"• المشرف غير موجود في الجدول ","")&amp;IF(AND(J117="موظف تحصيل",K117=""),"• موظف التحصيل يحتاج مشرفاً ","")&amp;IF(AND(O117&lt;&gt;"",P117=""),"• نوع الهدف بدون قيمة ",""))="","✔ مكتمل",IF(((B117="")+(C117="")+(D117="")+(E117="")+(F117="")+(H117="")+(I117="")+(J117="")+(M117="")+(Q117=""))&gt;0,"• حقول إلزامية ناقصة ","")&amp;IF(AND(D117&lt;&gt;"",COUNTIF($D$6:$D$205,D117)&gt;1),"• اسم المستخدم مكرر ","")&amp;IF(AND(D117&lt;&gt;"",ISNUMBER(SEARCH(" ",D117))),"• اسم المستخدم فيه مسافة ","")&amp;IF(AND(E117&lt;&gt;"",OR(ISERROR(SEARCH("@",E117)),ISERROR(SEARCH(".",E117)))),"• البريد غير صحيح ","")&amp;IF(AND(F117&lt;&gt;"",OR(LEN(F117)&lt;&gt;10,LEFT(F117,2)&lt;&gt;"05",ISERROR(--F117))),"• الجوال ليس بصيغة 05XXXXXXXX ","")&amp;IF(AND(L117&lt;&gt;"",OR(LEN(L117)&lt;2,LEN(L117)&gt;6,ISERROR(--L117),ISNUMBER(SEARCH(".",L117)))),"• التحويلة يجب أن تكون 2-6 أرقام ","")&amp;IF(AND(L117&lt;&gt;"",COUNTIF($L$6:$L$205,L117)&gt;1),"• التحويلة مكررة ","")&amp;IF(AND(M117="نعم",L117=""),"• يجري مكالمات بدون تحويلة ","")&amp;IF(AND(K117&lt;&gt;"",COUNTIF($D$6:$D$205,K117)=0),"• المشرف غير موجود في الجدول ","")&amp;IF(AND(J117="موظف تحصيل",K117=""),"• موظف التحصيل يحتاج مشرفاً ","")&amp;IF(AND(O117&lt;&gt;"",P117=""),"• نوع الهدف بدون قيمة ","")))</f>
        <v/>
      </c>
    </row>
    <row r="118">
      <c r="A118" s="17">
        <f>IF(COUNTA(B118:R118)=0,"",ROW()-5)</f>
        <v/>
      </c>
      <c r="B118" s="18" t="n"/>
      <c r="C118" s="18" t="n"/>
      <c r="D118" s="18" t="n"/>
      <c r="E118" s="18" t="n"/>
      <c r="F118" s="18" t="n"/>
      <c r="G118" s="18" t="n"/>
      <c r="H118" s="10" t="n"/>
      <c r="I118" s="10" t="n"/>
      <c r="J118" s="10" t="n"/>
      <c r="K118" s="10" t="n"/>
      <c r="L118" s="18" t="n"/>
      <c r="M118" s="10" t="n"/>
      <c r="N118" s="18" t="n"/>
      <c r="O118" s="10" t="n"/>
      <c r="P118" s="19" t="n"/>
      <c r="Q118" s="10" t="n"/>
      <c r="R118" s="18" t="n"/>
      <c r="S118" s="20">
        <f>IF(COUNTA(B118:R118)=0,"",IF((IF(((B118="")+(C118="")+(D118="")+(E118="")+(F118="")+(H118="")+(I118="")+(J118="")+(M118="")+(Q118=""))&gt;0,"• حقول إلزامية ناقصة ","")&amp;IF(AND(D118&lt;&gt;"",COUNTIF($D$6:$D$205,D118)&gt;1),"• اسم المستخدم مكرر ","")&amp;IF(AND(D118&lt;&gt;"",ISNUMBER(SEARCH(" ",D118))),"• اسم المستخدم فيه مسافة ","")&amp;IF(AND(E118&lt;&gt;"",OR(ISERROR(SEARCH("@",E118)),ISERROR(SEARCH(".",E118)))),"• البريد غير صحيح ","")&amp;IF(AND(F118&lt;&gt;"",OR(LEN(F118)&lt;&gt;10,LEFT(F118,2)&lt;&gt;"05",ISERROR(--F118))),"• الجوال ليس بصيغة 05XXXXXXXX ","")&amp;IF(AND(L118&lt;&gt;"",OR(LEN(L118)&lt;2,LEN(L118)&gt;6,ISERROR(--L118),ISNUMBER(SEARCH(".",L118)))),"• التحويلة يجب أن تكون 2-6 أرقام ","")&amp;IF(AND(L118&lt;&gt;"",COUNTIF($L$6:$L$205,L118)&gt;1),"• التحويلة مكررة ","")&amp;IF(AND(M118="نعم",L118=""),"• يجري مكالمات بدون تحويلة ","")&amp;IF(AND(K118&lt;&gt;"",COUNTIF($D$6:$D$205,K118)=0),"• المشرف غير موجود في الجدول ","")&amp;IF(AND(J118="موظف تحصيل",K118=""),"• موظف التحصيل يحتاج مشرفاً ","")&amp;IF(AND(O118&lt;&gt;"",P118=""),"• نوع الهدف بدون قيمة ",""))="","✔ مكتمل",IF(((B118="")+(C118="")+(D118="")+(E118="")+(F118="")+(H118="")+(I118="")+(J118="")+(M118="")+(Q118=""))&gt;0,"• حقول إلزامية ناقصة ","")&amp;IF(AND(D118&lt;&gt;"",COUNTIF($D$6:$D$205,D118)&gt;1),"• اسم المستخدم مكرر ","")&amp;IF(AND(D118&lt;&gt;"",ISNUMBER(SEARCH(" ",D118))),"• اسم المستخدم فيه مسافة ","")&amp;IF(AND(E118&lt;&gt;"",OR(ISERROR(SEARCH("@",E118)),ISERROR(SEARCH(".",E118)))),"• البريد غير صحيح ","")&amp;IF(AND(F118&lt;&gt;"",OR(LEN(F118)&lt;&gt;10,LEFT(F118,2)&lt;&gt;"05",ISERROR(--F118))),"• الجوال ليس بصيغة 05XXXXXXXX ","")&amp;IF(AND(L118&lt;&gt;"",OR(LEN(L118)&lt;2,LEN(L118)&gt;6,ISERROR(--L118),ISNUMBER(SEARCH(".",L118)))),"• التحويلة يجب أن تكون 2-6 أرقام ","")&amp;IF(AND(L118&lt;&gt;"",COUNTIF($L$6:$L$205,L118)&gt;1),"• التحويلة مكررة ","")&amp;IF(AND(M118="نعم",L118=""),"• يجري مكالمات بدون تحويلة ","")&amp;IF(AND(K118&lt;&gt;"",COUNTIF($D$6:$D$205,K118)=0),"• المشرف غير موجود في الجدول ","")&amp;IF(AND(J118="موظف تحصيل",K118=""),"• موظف التحصيل يحتاج مشرفاً ","")&amp;IF(AND(O118&lt;&gt;"",P118=""),"• نوع الهدف بدون قيمة ","")))</f>
        <v/>
      </c>
    </row>
    <row r="119">
      <c r="A119" s="17">
        <f>IF(COUNTA(B119:R119)=0,"",ROW()-5)</f>
        <v/>
      </c>
      <c r="B119" s="18" t="n"/>
      <c r="C119" s="18" t="n"/>
      <c r="D119" s="18" t="n"/>
      <c r="E119" s="18" t="n"/>
      <c r="F119" s="18" t="n"/>
      <c r="G119" s="18" t="n"/>
      <c r="H119" s="10" t="n"/>
      <c r="I119" s="10" t="n"/>
      <c r="J119" s="10" t="n"/>
      <c r="K119" s="10" t="n"/>
      <c r="L119" s="18" t="n"/>
      <c r="M119" s="10" t="n"/>
      <c r="N119" s="18" t="n"/>
      <c r="O119" s="10" t="n"/>
      <c r="P119" s="19" t="n"/>
      <c r="Q119" s="10" t="n"/>
      <c r="R119" s="18" t="n"/>
      <c r="S119" s="20">
        <f>IF(COUNTA(B119:R119)=0,"",IF((IF(((B119="")+(C119="")+(D119="")+(E119="")+(F119="")+(H119="")+(I119="")+(J119="")+(M119="")+(Q119=""))&gt;0,"• حقول إلزامية ناقصة ","")&amp;IF(AND(D119&lt;&gt;"",COUNTIF($D$6:$D$205,D119)&gt;1),"• اسم المستخدم مكرر ","")&amp;IF(AND(D119&lt;&gt;"",ISNUMBER(SEARCH(" ",D119))),"• اسم المستخدم فيه مسافة ","")&amp;IF(AND(E119&lt;&gt;"",OR(ISERROR(SEARCH("@",E119)),ISERROR(SEARCH(".",E119)))),"• البريد غير صحيح ","")&amp;IF(AND(F119&lt;&gt;"",OR(LEN(F119)&lt;&gt;10,LEFT(F119,2)&lt;&gt;"05",ISERROR(--F119))),"• الجوال ليس بصيغة 05XXXXXXXX ","")&amp;IF(AND(L119&lt;&gt;"",OR(LEN(L119)&lt;2,LEN(L119)&gt;6,ISERROR(--L119),ISNUMBER(SEARCH(".",L119)))),"• التحويلة يجب أن تكون 2-6 أرقام ","")&amp;IF(AND(L119&lt;&gt;"",COUNTIF($L$6:$L$205,L119)&gt;1),"• التحويلة مكررة ","")&amp;IF(AND(M119="نعم",L119=""),"• يجري مكالمات بدون تحويلة ","")&amp;IF(AND(K119&lt;&gt;"",COUNTIF($D$6:$D$205,K119)=0),"• المشرف غير موجود في الجدول ","")&amp;IF(AND(J119="موظف تحصيل",K119=""),"• موظف التحصيل يحتاج مشرفاً ","")&amp;IF(AND(O119&lt;&gt;"",P119=""),"• نوع الهدف بدون قيمة ",""))="","✔ مكتمل",IF(((B119="")+(C119="")+(D119="")+(E119="")+(F119="")+(H119="")+(I119="")+(J119="")+(M119="")+(Q119=""))&gt;0,"• حقول إلزامية ناقصة ","")&amp;IF(AND(D119&lt;&gt;"",COUNTIF($D$6:$D$205,D119)&gt;1),"• اسم المستخدم مكرر ","")&amp;IF(AND(D119&lt;&gt;"",ISNUMBER(SEARCH(" ",D119))),"• اسم المستخدم فيه مسافة ","")&amp;IF(AND(E119&lt;&gt;"",OR(ISERROR(SEARCH("@",E119)),ISERROR(SEARCH(".",E119)))),"• البريد غير صحيح ","")&amp;IF(AND(F119&lt;&gt;"",OR(LEN(F119)&lt;&gt;10,LEFT(F119,2)&lt;&gt;"05",ISERROR(--F119))),"• الجوال ليس بصيغة 05XXXXXXXX ","")&amp;IF(AND(L119&lt;&gt;"",OR(LEN(L119)&lt;2,LEN(L119)&gt;6,ISERROR(--L119),ISNUMBER(SEARCH(".",L119)))),"• التحويلة يجب أن تكون 2-6 أرقام ","")&amp;IF(AND(L119&lt;&gt;"",COUNTIF($L$6:$L$205,L119)&gt;1),"• التحويلة مكررة ","")&amp;IF(AND(M119="نعم",L119=""),"• يجري مكالمات بدون تحويلة ","")&amp;IF(AND(K119&lt;&gt;"",COUNTIF($D$6:$D$205,K119)=0),"• المشرف غير موجود في الجدول ","")&amp;IF(AND(J119="موظف تحصيل",K119=""),"• موظف التحصيل يحتاج مشرفاً ","")&amp;IF(AND(O119&lt;&gt;"",P119=""),"• نوع الهدف بدون قيمة ","")))</f>
        <v/>
      </c>
    </row>
    <row r="120">
      <c r="A120" s="17">
        <f>IF(COUNTA(B120:R120)=0,"",ROW()-5)</f>
        <v/>
      </c>
      <c r="B120" s="18" t="n"/>
      <c r="C120" s="18" t="n"/>
      <c r="D120" s="18" t="n"/>
      <c r="E120" s="18" t="n"/>
      <c r="F120" s="18" t="n"/>
      <c r="G120" s="18" t="n"/>
      <c r="H120" s="10" t="n"/>
      <c r="I120" s="10" t="n"/>
      <c r="J120" s="10" t="n"/>
      <c r="K120" s="10" t="n"/>
      <c r="L120" s="18" t="n"/>
      <c r="M120" s="10" t="n"/>
      <c r="N120" s="18" t="n"/>
      <c r="O120" s="10" t="n"/>
      <c r="P120" s="19" t="n"/>
      <c r="Q120" s="10" t="n"/>
      <c r="R120" s="18" t="n"/>
      <c r="S120" s="20">
        <f>IF(COUNTA(B120:R120)=0,"",IF((IF(((B120="")+(C120="")+(D120="")+(E120="")+(F120="")+(H120="")+(I120="")+(J120="")+(M120="")+(Q120=""))&gt;0,"• حقول إلزامية ناقصة ","")&amp;IF(AND(D120&lt;&gt;"",COUNTIF($D$6:$D$205,D120)&gt;1),"• اسم المستخدم مكرر ","")&amp;IF(AND(D120&lt;&gt;"",ISNUMBER(SEARCH(" ",D120))),"• اسم المستخدم فيه مسافة ","")&amp;IF(AND(E120&lt;&gt;"",OR(ISERROR(SEARCH("@",E120)),ISERROR(SEARCH(".",E120)))),"• البريد غير صحيح ","")&amp;IF(AND(F120&lt;&gt;"",OR(LEN(F120)&lt;&gt;10,LEFT(F120,2)&lt;&gt;"05",ISERROR(--F120))),"• الجوال ليس بصيغة 05XXXXXXXX ","")&amp;IF(AND(L120&lt;&gt;"",OR(LEN(L120)&lt;2,LEN(L120)&gt;6,ISERROR(--L120),ISNUMBER(SEARCH(".",L120)))),"• التحويلة يجب أن تكون 2-6 أرقام ","")&amp;IF(AND(L120&lt;&gt;"",COUNTIF($L$6:$L$205,L120)&gt;1),"• التحويلة مكررة ","")&amp;IF(AND(M120="نعم",L120=""),"• يجري مكالمات بدون تحويلة ","")&amp;IF(AND(K120&lt;&gt;"",COUNTIF($D$6:$D$205,K120)=0),"• المشرف غير موجود في الجدول ","")&amp;IF(AND(J120="موظف تحصيل",K120=""),"• موظف التحصيل يحتاج مشرفاً ","")&amp;IF(AND(O120&lt;&gt;"",P120=""),"• نوع الهدف بدون قيمة ",""))="","✔ مكتمل",IF(((B120="")+(C120="")+(D120="")+(E120="")+(F120="")+(H120="")+(I120="")+(J120="")+(M120="")+(Q120=""))&gt;0,"• حقول إلزامية ناقصة ","")&amp;IF(AND(D120&lt;&gt;"",COUNTIF($D$6:$D$205,D120)&gt;1),"• اسم المستخدم مكرر ","")&amp;IF(AND(D120&lt;&gt;"",ISNUMBER(SEARCH(" ",D120))),"• اسم المستخدم فيه مسافة ","")&amp;IF(AND(E120&lt;&gt;"",OR(ISERROR(SEARCH("@",E120)),ISERROR(SEARCH(".",E120)))),"• البريد غير صحيح ","")&amp;IF(AND(F120&lt;&gt;"",OR(LEN(F120)&lt;&gt;10,LEFT(F120,2)&lt;&gt;"05",ISERROR(--F120))),"• الجوال ليس بصيغة 05XXXXXXXX ","")&amp;IF(AND(L120&lt;&gt;"",OR(LEN(L120)&lt;2,LEN(L120)&gt;6,ISERROR(--L120),ISNUMBER(SEARCH(".",L120)))),"• التحويلة يجب أن تكون 2-6 أرقام ","")&amp;IF(AND(L120&lt;&gt;"",COUNTIF($L$6:$L$205,L120)&gt;1),"• التحويلة مكررة ","")&amp;IF(AND(M120="نعم",L120=""),"• يجري مكالمات بدون تحويلة ","")&amp;IF(AND(K120&lt;&gt;"",COUNTIF($D$6:$D$205,K120)=0),"• المشرف غير موجود في الجدول ","")&amp;IF(AND(J120="موظف تحصيل",K120=""),"• موظف التحصيل يحتاج مشرفاً ","")&amp;IF(AND(O120&lt;&gt;"",P120=""),"• نوع الهدف بدون قيمة ","")))</f>
        <v/>
      </c>
    </row>
    <row r="121">
      <c r="A121" s="17">
        <f>IF(COUNTA(B121:R121)=0,"",ROW()-5)</f>
        <v/>
      </c>
      <c r="B121" s="18" t="n"/>
      <c r="C121" s="18" t="n"/>
      <c r="D121" s="18" t="n"/>
      <c r="E121" s="18" t="n"/>
      <c r="F121" s="18" t="n"/>
      <c r="G121" s="18" t="n"/>
      <c r="H121" s="10" t="n"/>
      <c r="I121" s="10" t="n"/>
      <c r="J121" s="10" t="n"/>
      <c r="K121" s="10" t="n"/>
      <c r="L121" s="18" t="n"/>
      <c r="M121" s="10" t="n"/>
      <c r="N121" s="18" t="n"/>
      <c r="O121" s="10" t="n"/>
      <c r="P121" s="19" t="n"/>
      <c r="Q121" s="10" t="n"/>
      <c r="R121" s="18" t="n"/>
      <c r="S121" s="20">
        <f>IF(COUNTA(B121:R121)=0,"",IF((IF(((B121="")+(C121="")+(D121="")+(E121="")+(F121="")+(H121="")+(I121="")+(J121="")+(M121="")+(Q121=""))&gt;0,"• حقول إلزامية ناقصة ","")&amp;IF(AND(D121&lt;&gt;"",COUNTIF($D$6:$D$205,D121)&gt;1),"• اسم المستخدم مكرر ","")&amp;IF(AND(D121&lt;&gt;"",ISNUMBER(SEARCH(" ",D121))),"• اسم المستخدم فيه مسافة ","")&amp;IF(AND(E121&lt;&gt;"",OR(ISERROR(SEARCH("@",E121)),ISERROR(SEARCH(".",E121)))),"• البريد غير صحيح ","")&amp;IF(AND(F121&lt;&gt;"",OR(LEN(F121)&lt;&gt;10,LEFT(F121,2)&lt;&gt;"05",ISERROR(--F121))),"• الجوال ليس بصيغة 05XXXXXXXX ","")&amp;IF(AND(L121&lt;&gt;"",OR(LEN(L121)&lt;2,LEN(L121)&gt;6,ISERROR(--L121),ISNUMBER(SEARCH(".",L121)))),"• التحويلة يجب أن تكون 2-6 أرقام ","")&amp;IF(AND(L121&lt;&gt;"",COUNTIF($L$6:$L$205,L121)&gt;1),"• التحويلة مكررة ","")&amp;IF(AND(M121="نعم",L121=""),"• يجري مكالمات بدون تحويلة ","")&amp;IF(AND(K121&lt;&gt;"",COUNTIF($D$6:$D$205,K121)=0),"• المشرف غير موجود في الجدول ","")&amp;IF(AND(J121="موظف تحصيل",K121=""),"• موظف التحصيل يحتاج مشرفاً ","")&amp;IF(AND(O121&lt;&gt;"",P121=""),"• نوع الهدف بدون قيمة ",""))="","✔ مكتمل",IF(((B121="")+(C121="")+(D121="")+(E121="")+(F121="")+(H121="")+(I121="")+(J121="")+(M121="")+(Q121=""))&gt;0,"• حقول إلزامية ناقصة ","")&amp;IF(AND(D121&lt;&gt;"",COUNTIF($D$6:$D$205,D121)&gt;1),"• اسم المستخدم مكرر ","")&amp;IF(AND(D121&lt;&gt;"",ISNUMBER(SEARCH(" ",D121))),"• اسم المستخدم فيه مسافة ","")&amp;IF(AND(E121&lt;&gt;"",OR(ISERROR(SEARCH("@",E121)),ISERROR(SEARCH(".",E121)))),"• البريد غير صحيح ","")&amp;IF(AND(F121&lt;&gt;"",OR(LEN(F121)&lt;&gt;10,LEFT(F121,2)&lt;&gt;"05",ISERROR(--F121))),"• الجوال ليس بصيغة 05XXXXXXXX ","")&amp;IF(AND(L121&lt;&gt;"",OR(LEN(L121)&lt;2,LEN(L121)&gt;6,ISERROR(--L121),ISNUMBER(SEARCH(".",L121)))),"• التحويلة يجب أن تكون 2-6 أرقام ","")&amp;IF(AND(L121&lt;&gt;"",COUNTIF($L$6:$L$205,L121)&gt;1),"• التحويلة مكررة ","")&amp;IF(AND(M121="نعم",L121=""),"• يجري مكالمات بدون تحويلة ","")&amp;IF(AND(K121&lt;&gt;"",COUNTIF($D$6:$D$205,K121)=0),"• المشرف غير موجود في الجدول ","")&amp;IF(AND(J121="موظف تحصيل",K121=""),"• موظف التحصيل يحتاج مشرفاً ","")&amp;IF(AND(O121&lt;&gt;"",P121=""),"• نوع الهدف بدون قيمة ","")))</f>
        <v/>
      </c>
    </row>
    <row r="122">
      <c r="A122" s="17">
        <f>IF(COUNTA(B122:R122)=0,"",ROW()-5)</f>
        <v/>
      </c>
      <c r="B122" s="18" t="n"/>
      <c r="C122" s="18" t="n"/>
      <c r="D122" s="18" t="n"/>
      <c r="E122" s="18" t="n"/>
      <c r="F122" s="18" t="n"/>
      <c r="G122" s="18" t="n"/>
      <c r="H122" s="10" t="n"/>
      <c r="I122" s="10" t="n"/>
      <c r="J122" s="10" t="n"/>
      <c r="K122" s="10" t="n"/>
      <c r="L122" s="18" t="n"/>
      <c r="M122" s="10" t="n"/>
      <c r="N122" s="18" t="n"/>
      <c r="O122" s="10" t="n"/>
      <c r="P122" s="19" t="n"/>
      <c r="Q122" s="10" t="n"/>
      <c r="R122" s="18" t="n"/>
      <c r="S122" s="20">
        <f>IF(COUNTA(B122:R122)=0,"",IF((IF(((B122="")+(C122="")+(D122="")+(E122="")+(F122="")+(H122="")+(I122="")+(J122="")+(M122="")+(Q122=""))&gt;0,"• حقول إلزامية ناقصة ","")&amp;IF(AND(D122&lt;&gt;"",COUNTIF($D$6:$D$205,D122)&gt;1),"• اسم المستخدم مكرر ","")&amp;IF(AND(D122&lt;&gt;"",ISNUMBER(SEARCH(" ",D122))),"• اسم المستخدم فيه مسافة ","")&amp;IF(AND(E122&lt;&gt;"",OR(ISERROR(SEARCH("@",E122)),ISERROR(SEARCH(".",E122)))),"• البريد غير صحيح ","")&amp;IF(AND(F122&lt;&gt;"",OR(LEN(F122)&lt;&gt;10,LEFT(F122,2)&lt;&gt;"05",ISERROR(--F122))),"• الجوال ليس بصيغة 05XXXXXXXX ","")&amp;IF(AND(L122&lt;&gt;"",OR(LEN(L122)&lt;2,LEN(L122)&gt;6,ISERROR(--L122),ISNUMBER(SEARCH(".",L122)))),"• التحويلة يجب أن تكون 2-6 أرقام ","")&amp;IF(AND(L122&lt;&gt;"",COUNTIF($L$6:$L$205,L122)&gt;1),"• التحويلة مكررة ","")&amp;IF(AND(M122="نعم",L122=""),"• يجري مكالمات بدون تحويلة ","")&amp;IF(AND(K122&lt;&gt;"",COUNTIF($D$6:$D$205,K122)=0),"• المشرف غير موجود في الجدول ","")&amp;IF(AND(J122="موظف تحصيل",K122=""),"• موظف التحصيل يحتاج مشرفاً ","")&amp;IF(AND(O122&lt;&gt;"",P122=""),"• نوع الهدف بدون قيمة ",""))="","✔ مكتمل",IF(((B122="")+(C122="")+(D122="")+(E122="")+(F122="")+(H122="")+(I122="")+(J122="")+(M122="")+(Q122=""))&gt;0,"• حقول إلزامية ناقصة ","")&amp;IF(AND(D122&lt;&gt;"",COUNTIF($D$6:$D$205,D122)&gt;1),"• اسم المستخدم مكرر ","")&amp;IF(AND(D122&lt;&gt;"",ISNUMBER(SEARCH(" ",D122))),"• اسم المستخدم فيه مسافة ","")&amp;IF(AND(E122&lt;&gt;"",OR(ISERROR(SEARCH("@",E122)),ISERROR(SEARCH(".",E122)))),"• البريد غير صحيح ","")&amp;IF(AND(F122&lt;&gt;"",OR(LEN(F122)&lt;&gt;10,LEFT(F122,2)&lt;&gt;"05",ISERROR(--F122))),"• الجوال ليس بصيغة 05XXXXXXXX ","")&amp;IF(AND(L122&lt;&gt;"",OR(LEN(L122)&lt;2,LEN(L122)&gt;6,ISERROR(--L122),ISNUMBER(SEARCH(".",L122)))),"• التحويلة يجب أن تكون 2-6 أرقام ","")&amp;IF(AND(L122&lt;&gt;"",COUNTIF($L$6:$L$205,L122)&gt;1),"• التحويلة مكررة ","")&amp;IF(AND(M122="نعم",L122=""),"• يجري مكالمات بدون تحويلة ","")&amp;IF(AND(K122&lt;&gt;"",COUNTIF($D$6:$D$205,K122)=0),"• المشرف غير موجود في الجدول ","")&amp;IF(AND(J122="موظف تحصيل",K122=""),"• موظف التحصيل يحتاج مشرفاً ","")&amp;IF(AND(O122&lt;&gt;"",P122=""),"• نوع الهدف بدون قيمة ","")))</f>
        <v/>
      </c>
    </row>
    <row r="123">
      <c r="A123" s="17">
        <f>IF(COUNTA(B123:R123)=0,"",ROW()-5)</f>
        <v/>
      </c>
      <c r="B123" s="18" t="n"/>
      <c r="C123" s="18" t="n"/>
      <c r="D123" s="18" t="n"/>
      <c r="E123" s="18" t="n"/>
      <c r="F123" s="18" t="n"/>
      <c r="G123" s="18" t="n"/>
      <c r="H123" s="10" t="n"/>
      <c r="I123" s="10" t="n"/>
      <c r="J123" s="10" t="n"/>
      <c r="K123" s="10" t="n"/>
      <c r="L123" s="18" t="n"/>
      <c r="M123" s="10" t="n"/>
      <c r="N123" s="18" t="n"/>
      <c r="O123" s="10" t="n"/>
      <c r="P123" s="19" t="n"/>
      <c r="Q123" s="10" t="n"/>
      <c r="R123" s="18" t="n"/>
      <c r="S123" s="20">
        <f>IF(COUNTA(B123:R123)=0,"",IF((IF(((B123="")+(C123="")+(D123="")+(E123="")+(F123="")+(H123="")+(I123="")+(J123="")+(M123="")+(Q123=""))&gt;0,"• حقول إلزامية ناقصة ","")&amp;IF(AND(D123&lt;&gt;"",COUNTIF($D$6:$D$205,D123)&gt;1),"• اسم المستخدم مكرر ","")&amp;IF(AND(D123&lt;&gt;"",ISNUMBER(SEARCH(" ",D123))),"• اسم المستخدم فيه مسافة ","")&amp;IF(AND(E123&lt;&gt;"",OR(ISERROR(SEARCH("@",E123)),ISERROR(SEARCH(".",E123)))),"• البريد غير صحيح ","")&amp;IF(AND(F123&lt;&gt;"",OR(LEN(F123)&lt;&gt;10,LEFT(F123,2)&lt;&gt;"05",ISERROR(--F123))),"• الجوال ليس بصيغة 05XXXXXXXX ","")&amp;IF(AND(L123&lt;&gt;"",OR(LEN(L123)&lt;2,LEN(L123)&gt;6,ISERROR(--L123),ISNUMBER(SEARCH(".",L123)))),"• التحويلة يجب أن تكون 2-6 أرقام ","")&amp;IF(AND(L123&lt;&gt;"",COUNTIF($L$6:$L$205,L123)&gt;1),"• التحويلة مكررة ","")&amp;IF(AND(M123="نعم",L123=""),"• يجري مكالمات بدون تحويلة ","")&amp;IF(AND(K123&lt;&gt;"",COUNTIF($D$6:$D$205,K123)=0),"• المشرف غير موجود في الجدول ","")&amp;IF(AND(J123="موظف تحصيل",K123=""),"• موظف التحصيل يحتاج مشرفاً ","")&amp;IF(AND(O123&lt;&gt;"",P123=""),"• نوع الهدف بدون قيمة ",""))="","✔ مكتمل",IF(((B123="")+(C123="")+(D123="")+(E123="")+(F123="")+(H123="")+(I123="")+(J123="")+(M123="")+(Q123=""))&gt;0,"• حقول إلزامية ناقصة ","")&amp;IF(AND(D123&lt;&gt;"",COUNTIF($D$6:$D$205,D123)&gt;1),"• اسم المستخدم مكرر ","")&amp;IF(AND(D123&lt;&gt;"",ISNUMBER(SEARCH(" ",D123))),"• اسم المستخدم فيه مسافة ","")&amp;IF(AND(E123&lt;&gt;"",OR(ISERROR(SEARCH("@",E123)),ISERROR(SEARCH(".",E123)))),"• البريد غير صحيح ","")&amp;IF(AND(F123&lt;&gt;"",OR(LEN(F123)&lt;&gt;10,LEFT(F123,2)&lt;&gt;"05",ISERROR(--F123))),"• الجوال ليس بصيغة 05XXXXXXXX ","")&amp;IF(AND(L123&lt;&gt;"",OR(LEN(L123)&lt;2,LEN(L123)&gt;6,ISERROR(--L123),ISNUMBER(SEARCH(".",L123)))),"• التحويلة يجب أن تكون 2-6 أرقام ","")&amp;IF(AND(L123&lt;&gt;"",COUNTIF($L$6:$L$205,L123)&gt;1),"• التحويلة مكررة ","")&amp;IF(AND(M123="نعم",L123=""),"• يجري مكالمات بدون تحويلة ","")&amp;IF(AND(K123&lt;&gt;"",COUNTIF($D$6:$D$205,K123)=0),"• المشرف غير موجود في الجدول ","")&amp;IF(AND(J123="موظف تحصيل",K123=""),"• موظف التحصيل يحتاج مشرفاً ","")&amp;IF(AND(O123&lt;&gt;"",P123=""),"• نوع الهدف بدون قيمة ","")))</f>
        <v/>
      </c>
    </row>
    <row r="124">
      <c r="A124" s="17">
        <f>IF(COUNTA(B124:R124)=0,"",ROW()-5)</f>
        <v/>
      </c>
      <c r="B124" s="18" t="n"/>
      <c r="C124" s="18" t="n"/>
      <c r="D124" s="18" t="n"/>
      <c r="E124" s="18" t="n"/>
      <c r="F124" s="18" t="n"/>
      <c r="G124" s="18" t="n"/>
      <c r="H124" s="10" t="n"/>
      <c r="I124" s="10" t="n"/>
      <c r="J124" s="10" t="n"/>
      <c r="K124" s="10" t="n"/>
      <c r="L124" s="18" t="n"/>
      <c r="M124" s="10" t="n"/>
      <c r="N124" s="18" t="n"/>
      <c r="O124" s="10" t="n"/>
      <c r="P124" s="19" t="n"/>
      <c r="Q124" s="10" t="n"/>
      <c r="R124" s="18" t="n"/>
      <c r="S124" s="20">
        <f>IF(COUNTA(B124:R124)=0,"",IF((IF(((B124="")+(C124="")+(D124="")+(E124="")+(F124="")+(H124="")+(I124="")+(J124="")+(M124="")+(Q124=""))&gt;0,"• حقول إلزامية ناقصة ","")&amp;IF(AND(D124&lt;&gt;"",COUNTIF($D$6:$D$205,D124)&gt;1),"• اسم المستخدم مكرر ","")&amp;IF(AND(D124&lt;&gt;"",ISNUMBER(SEARCH(" ",D124))),"• اسم المستخدم فيه مسافة ","")&amp;IF(AND(E124&lt;&gt;"",OR(ISERROR(SEARCH("@",E124)),ISERROR(SEARCH(".",E124)))),"• البريد غير صحيح ","")&amp;IF(AND(F124&lt;&gt;"",OR(LEN(F124)&lt;&gt;10,LEFT(F124,2)&lt;&gt;"05",ISERROR(--F124))),"• الجوال ليس بصيغة 05XXXXXXXX ","")&amp;IF(AND(L124&lt;&gt;"",OR(LEN(L124)&lt;2,LEN(L124)&gt;6,ISERROR(--L124),ISNUMBER(SEARCH(".",L124)))),"• التحويلة يجب أن تكون 2-6 أرقام ","")&amp;IF(AND(L124&lt;&gt;"",COUNTIF($L$6:$L$205,L124)&gt;1),"• التحويلة مكررة ","")&amp;IF(AND(M124="نعم",L124=""),"• يجري مكالمات بدون تحويلة ","")&amp;IF(AND(K124&lt;&gt;"",COUNTIF($D$6:$D$205,K124)=0),"• المشرف غير موجود في الجدول ","")&amp;IF(AND(J124="موظف تحصيل",K124=""),"• موظف التحصيل يحتاج مشرفاً ","")&amp;IF(AND(O124&lt;&gt;"",P124=""),"• نوع الهدف بدون قيمة ",""))="","✔ مكتمل",IF(((B124="")+(C124="")+(D124="")+(E124="")+(F124="")+(H124="")+(I124="")+(J124="")+(M124="")+(Q124=""))&gt;0,"• حقول إلزامية ناقصة ","")&amp;IF(AND(D124&lt;&gt;"",COUNTIF($D$6:$D$205,D124)&gt;1),"• اسم المستخدم مكرر ","")&amp;IF(AND(D124&lt;&gt;"",ISNUMBER(SEARCH(" ",D124))),"• اسم المستخدم فيه مسافة ","")&amp;IF(AND(E124&lt;&gt;"",OR(ISERROR(SEARCH("@",E124)),ISERROR(SEARCH(".",E124)))),"• البريد غير صحيح ","")&amp;IF(AND(F124&lt;&gt;"",OR(LEN(F124)&lt;&gt;10,LEFT(F124,2)&lt;&gt;"05",ISERROR(--F124))),"• الجوال ليس بصيغة 05XXXXXXXX ","")&amp;IF(AND(L124&lt;&gt;"",OR(LEN(L124)&lt;2,LEN(L124)&gt;6,ISERROR(--L124),ISNUMBER(SEARCH(".",L124)))),"• التحويلة يجب أن تكون 2-6 أرقام ","")&amp;IF(AND(L124&lt;&gt;"",COUNTIF($L$6:$L$205,L124)&gt;1),"• التحويلة مكررة ","")&amp;IF(AND(M124="نعم",L124=""),"• يجري مكالمات بدون تحويلة ","")&amp;IF(AND(K124&lt;&gt;"",COUNTIF($D$6:$D$205,K124)=0),"• المشرف غير موجود في الجدول ","")&amp;IF(AND(J124="موظف تحصيل",K124=""),"• موظف التحصيل يحتاج مشرفاً ","")&amp;IF(AND(O124&lt;&gt;"",P124=""),"• نوع الهدف بدون قيمة ","")))</f>
        <v/>
      </c>
    </row>
    <row r="125">
      <c r="A125" s="17">
        <f>IF(COUNTA(B125:R125)=0,"",ROW()-5)</f>
        <v/>
      </c>
      <c r="B125" s="18" t="n"/>
      <c r="C125" s="18" t="n"/>
      <c r="D125" s="18" t="n"/>
      <c r="E125" s="18" t="n"/>
      <c r="F125" s="18" t="n"/>
      <c r="G125" s="18" t="n"/>
      <c r="H125" s="10" t="n"/>
      <c r="I125" s="10" t="n"/>
      <c r="J125" s="10" t="n"/>
      <c r="K125" s="10" t="n"/>
      <c r="L125" s="18" t="n"/>
      <c r="M125" s="10" t="n"/>
      <c r="N125" s="18" t="n"/>
      <c r="O125" s="10" t="n"/>
      <c r="P125" s="19" t="n"/>
      <c r="Q125" s="10" t="n"/>
      <c r="R125" s="18" t="n"/>
      <c r="S125" s="20">
        <f>IF(COUNTA(B125:R125)=0,"",IF((IF(((B125="")+(C125="")+(D125="")+(E125="")+(F125="")+(H125="")+(I125="")+(J125="")+(M125="")+(Q125=""))&gt;0,"• حقول إلزامية ناقصة ","")&amp;IF(AND(D125&lt;&gt;"",COUNTIF($D$6:$D$205,D125)&gt;1),"• اسم المستخدم مكرر ","")&amp;IF(AND(D125&lt;&gt;"",ISNUMBER(SEARCH(" ",D125))),"• اسم المستخدم فيه مسافة ","")&amp;IF(AND(E125&lt;&gt;"",OR(ISERROR(SEARCH("@",E125)),ISERROR(SEARCH(".",E125)))),"• البريد غير صحيح ","")&amp;IF(AND(F125&lt;&gt;"",OR(LEN(F125)&lt;&gt;10,LEFT(F125,2)&lt;&gt;"05",ISERROR(--F125))),"• الجوال ليس بصيغة 05XXXXXXXX ","")&amp;IF(AND(L125&lt;&gt;"",OR(LEN(L125)&lt;2,LEN(L125)&gt;6,ISERROR(--L125),ISNUMBER(SEARCH(".",L125)))),"• التحويلة يجب أن تكون 2-6 أرقام ","")&amp;IF(AND(L125&lt;&gt;"",COUNTIF($L$6:$L$205,L125)&gt;1),"• التحويلة مكررة ","")&amp;IF(AND(M125="نعم",L125=""),"• يجري مكالمات بدون تحويلة ","")&amp;IF(AND(K125&lt;&gt;"",COUNTIF($D$6:$D$205,K125)=0),"• المشرف غير موجود في الجدول ","")&amp;IF(AND(J125="موظف تحصيل",K125=""),"• موظف التحصيل يحتاج مشرفاً ","")&amp;IF(AND(O125&lt;&gt;"",P125=""),"• نوع الهدف بدون قيمة ",""))="","✔ مكتمل",IF(((B125="")+(C125="")+(D125="")+(E125="")+(F125="")+(H125="")+(I125="")+(J125="")+(M125="")+(Q125=""))&gt;0,"• حقول إلزامية ناقصة ","")&amp;IF(AND(D125&lt;&gt;"",COUNTIF($D$6:$D$205,D125)&gt;1),"• اسم المستخدم مكرر ","")&amp;IF(AND(D125&lt;&gt;"",ISNUMBER(SEARCH(" ",D125))),"• اسم المستخدم فيه مسافة ","")&amp;IF(AND(E125&lt;&gt;"",OR(ISERROR(SEARCH("@",E125)),ISERROR(SEARCH(".",E125)))),"• البريد غير صحيح ","")&amp;IF(AND(F125&lt;&gt;"",OR(LEN(F125)&lt;&gt;10,LEFT(F125,2)&lt;&gt;"05",ISERROR(--F125))),"• الجوال ليس بصيغة 05XXXXXXXX ","")&amp;IF(AND(L125&lt;&gt;"",OR(LEN(L125)&lt;2,LEN(L125)&gt;6,ISERROR(--L125),ISNUMBER(SEARCH(".",L125)))),"• التحويلة يجب أن تكون 2-6 أرقام ","")&amp;IF(AND(L125&lt;&gt;"",COUNTIF($L$6:$L$205,L125)&gt;1),"• التحويلة مكررة ","")&amp;IF(AND(M125="نعم",L125=""),"• يجري مكالمات بدون تحويلة ","")&amp;IF(AND(K125&lt;&gt;"",COUNTIF($D$6:$D$205,K125)=0),"• المشرف غير موجود في الجدول ","")&amp;IF(AND(J125="موظف تحصيل",K125=""),"• موظف التحصيل يحتاج مشرفاً ","")&amp;IF(AND(O125&lt;&gt;"",P125=""),"• نوع الهدف بدون قيمة ","")))</f>
        <v/>
      </c>
    </row>
    <row r="126">
      <c r="A126" s="17">
        <f>IF(COUNTA(B126:R126)=0,"",ROW()-5)</f>
        <v/>
      </c>
      <c r="B126" s="18" t="n"/>
      <c r="C126" s="18" t="n"/>
      <c r="D126" s="18" t="n"/>
      <c r="E126" s="18" t="n"/>
      <c r="F126" s="18" t="n"/>
      <c r="G126" s="18" t="n"/>
      <c r="H126" s="10" t="n"/>
      <c r="I126" s="10" t="n"/>
      <c r="J126" s="10" t="n"/>
      <c r="K126" s="10" t="n"/>
      <c r="L126" s="18" t="n"/>
      <c r="M126" s="10" t="n"/>
      <c r="N126" s="18" t="n"/>
      <c r="O126" s="10" t="n"/>
      <c r="P126" s="19" t="n"/>
      <c r="Q126" s="10" t="n"/>
      <c r="R126" s="18" t="n"/>
      <c r="S126" s="20">
        <f>IF(COUNTA(B126:R126)=0,"",IF((IF(((B126="")+(C126="")+(D126="")+(E126="")+(F126="")+(H126="")+(I126="")+(J126="")+(M126="")+(Q126=""))&gt;0,"• حقول إلزامية ناقصة ","")&amp;IF(AND(D126&lt;&gt;"",COUNTIF($D$6:$D$205,D126)&gt;1),"• اسم المستخدم مكرر ","")&amp;IF(AND(D126&lt;&gt;"",ISNUMBER(SEARCH(" ",D126))),"• اسم المستخدم فيه مسافة ","")&amp;IF(AND(E126&lt;&gt;"",OR(ISERROR(SEARCH("@",E126)),ISERROR(SEARCH(".",E126)))),"• البريد غير صحيح ","")&amp;IF(AND(F126&lt;&gt;"",OR(LEN(F126)&lt;&gt;10,LEFT(F126,2)&lt;&gt;"05",ISERROR(--F126))),"• الجوال ليس بصيغة 05XXXXXXXX ","")&amp;IF(AND(L126&lt;&gt;"",OR(LEN(L126)&lt;2,LEN(L126)&gt;6,ISERROR(--L126),ISNUMBER(SEARCH(".",L126)))),"• التحويلة يجب أن تكون 2-6 أرقام ","")&amp;IF(AND(L126&lt;&gt;"",COUNTIF($L$6:$L$205,L126)&gt;1),"• التحويلة مكررة ","")&amp;IF(AND(M126="نعم",L126=""),"• يجري مكالمات بدون تحويلة ","")&amp;IF(AND(K126&lt;&gt;"",COUNTIF($D$6:$D$205,K126)=0),"• المشرف غير موجود في الجدول ","")&amp;IF(AND(J126="موظف تحصيل",K126=""),"• موظف التحصيل يحتاج مشرفاً ","")&amp;IF(AND(O126&lt;&gt;"",P126=""),"• نوع الهدف بدون قيمة ",""))="","✔ مكتمل",IF(((B126="")+(C126="")+(D126="")+(E126="")+(F126="")+(H126="")+(I126="")+(J126="")+(M126="")+(Q126=""))&gt;0,"• حقول إلزامية ناقصة ","")&amp;IF(AND(D126&lt;&gt;"",COUNTIF($D$6:$D$205,D126)&gt;1),"• اسم المستخدم مكرر ","")&amp;IF(AND(D126&lt;&gt;"",ISNUMBER(SEARCH(" ",D126))),"• اسم المستخدم فيه مسافة ","")&amp;IF(AND(E126&lt;&gt;"",OR(ISERROR(SEARCH("@",E126)),ISERROR(SEARCH(".",E126)))),"• البريد غير صحيح ","")&amp;IF(AND(F126&lt;&gt;"",OR(LEN(F126)&lt;&gt;10,LEFT(F126,2)&lt;&gt;"05",ISERROR(--F126))),"• الجوال ليس بصيغة 05XXXXXXXX ","")&amp;IF(AND(L126&lt;&gt;"",OR(LEN(L126)&lt;2,LEN(L126)&gt;6,ISERROR(--L126),ISNUMBER(SEARCH(".",L126)))),"• التحويلة يجب أن تكون 2-6 أرقام ","")&amp;IF(AND(L126&lt;&gt;"",COUNTIF($L$6:$L$205,L126)&gt;1),"• التحويلة مكررة ","")&amp;IF(AND(M126="نعم",L126=""),"• يجري مكالمات بدون تحويلة ","")&amp;IF(AND(K126&lt;&gt;"",COUNTIF($D$6:$D$205,K126)=0),"• المشرف غير موجود في الجدول ","")&amp;IF(AND(J126="موظف تحصيل",K126=""),"• موظف التحصيل يحتاج مشرفاً ","")&amp;IF(AND(O126&lt;&gt;"",P126=""),"• نوع الهدف بدون قيمة ","")))</f>
        <v/>
      </c>
    </row>
    <row r="127">
      <c r="A127" s="17">
        <f>IF(COUNTA(B127:R127)=0,"",ROW()-5)</f>
        <v/>
      </c>
      <c r="B127" s="18" t="n"/>
      <c r="C127" s="18" t="n"/>
      <c r="D127" s="18" t="n"/>
      <c r="E127" s="18" t="n"/>
      <c r="F127" s="18" t="n"/>
      <c r="G127" s="18" t="n"/>
      <c r="H127" s="10" t="n"/>
      <c r="I127" s="10" t="n"/>
      <c r="J127" s="10" t="n"/>
      <c r="K127" s="10" t="n"/>
      <c r="L127" s="18" t="n"/>
      <c r="M127" s="10" t="n"/>
      <c r="N127" s="18" t="n"/>
      <c r="O127" s="10" t="n"/>
      <c r="P127" s="19" t="n"/>
      <c r="Q127" s="10" t="n"/>
      <c r="R127" s="18" t="n"/>
      <c r="S127" s="20">
        <f>IF(COUNTA(B127:R127)=0,"",IF((IF(((B127="")+(C127="")+(D127="")+(E127="")+(F127="")+(H127="")+(I127="")+(J127="")+(M127="")+(Q127=""))&gt;0,"• حقول إلزامية ناقصة ","")&amp;IF(AND(D127&lt;&gt;"",COUNTIF($D$6:$D$205,D127)&gt;1),"• اسم المستخدم مكرر ","")&amp;IF(AND(D127&lt;&gt;"",ISNUMBER(SEARCH(" ",D127))),"• اسم المستخدم فيه مسافة ","")&amp;IF(AND(E127&lt;&gt;"",OR(ISERROR(SEARCH("@",E127)),ISERROR(SEARCH(".",E127)))),"• البريد غير صحيح ","")&amp;IF(AND(F127&lt;&gt;"",OR(LEN(F127)&lt;&gt;10,LEFT(F127,2)&lt;&gt;"05",ISERROR(--F127))),"• الجوال ليس بصيغة 05XXXXXXXX ","")&amp;IF(AND(L127&lt;&gt;"",OR(LEN(L127)&lt;2,LEN(L127)&gt;6,ISERROR(--L127),ISNUMBER(SEARCH(".",L127)))),"• التحويلة يجب أن تكون 2-6 أرقام ","")&amp;IF(AND(L127&lt;&gt;"",COUNTIF($L$6:$L$205,L127)&gt;1),"• التحويلة مكررة ","")&amp;IF(AND(M127="نعم",L127=""),"• يجري مكالمات بدون تحويلة ","")&amp;IF(AND(K127&lt;&gt;"",COUNTIF($D$6:$D$205,K127)=0),"• المشرف غير موجود في الجدول ","")&amp;IF(AND(J127="موظف تحصيل",K127=""),"• موظف التحصيل يحتاج مشرفاً ","")&amp;IF(AND(O127&lt;&gt;"",P127=""),"• نوع الهدف بدون قيمة ",""))="","✔ مكتمل",IF(((B127="")+(C127="")+(D127="")+(E127="")+(F127="")+(H127="")+(I127="")+(J127="")+(M127="")+(Q127=""))&gt;0,"• حقول إلزامية ناقصة ","")&amp;IF(AND(D127&lt;&gt;"",COUNTIF($D$6:$D$205,D127)&gt;1),"• اسم المستخدم مكرر ","")&amp;IF(AND(D127&lt;&gt;"",ISNUMBER(SEARCH(" ",D127))),"• اسم المستخدم فيه مسافة ","")&amp;IF(AND(E127&lt;&gt;"",OR(ISERROR(SEARCH("@",E127)),ISERROR(SEARCH(".",E127)))),"• البريد غير صحيح ","")&amp;IF(AND(F127&lt;&gt;"",OR(LEN(F127)&lt;&gt;10,LEFT(F127,2)&lt;&gt;"05",ISERROR(--F127))),"• الجوال ليس بصيغة 05XXXXXXXX ","")&amp;IF(AND(L127&lt;&gt;"",OR(LEN(L127)&lt;2,LEN(L127)&gt;6,ISERROR(--L127),ISNUMBER(SEARCH(".",L127)))),"• التحويلة يجب أن تكون 2-6 أرقام ","")&amp;IF(AND(L127&lt;&gt;"",COUNTIF($L$6:$L$205,L127)&gt;1),"• التحويلة مكررة ","")&amp;IF(AND(M127="نعم",L127=""),"• يجري مكالمات بدون تحويلة ","")&amp;IF(AND(K127&lt;&gt;"",COUNTIF($D$6:$D$205,K127)=0),"• المشرف غير موجود في الجدول ","")&amp;IF(AND(J127="موظف تحصيل",K127=""),"• موظف التحصيل يحتاج مشرفاً ","")&amp;IF(AND(O127&lt;&gt;"",P127=""),"• نوع الهدف بدون قيمة ","")))</f>
        <v/>
      </c>
    </row>
    <row r="128">
      <c r="A128" s="17">
        <f>IF(COUNTA(B128:R128)=0,"",ROW()-5)</f>
        <v/>
      </c>
      <c r="B128" s="18" t="n"/>
      <c r="C128" s="18" t="n"/>
      <c r="D128" s="18" t="n"/>
      <c r="E128" s="18" t="n"/>
      <c r="F128" s="18" t="n"/>
      <c r="G128" s="18" t="n"/>
      <c r="H128" s="10" t="n"/>
      <c r="I128" s="10" t="n"/>
      <c r="J128" s="10" t="n"/>
      <c r="K128" s="10" t="n"/>
      <c r="L128" s="18" t="n"/>
      <c r="M128" s="10" t="n"/>
      <c r="N128" s="18" t="n"/>
      <c r="O128" s="10" t="n"/>
      <c r="P128" s="19" t="n"/>
      <c r="Q128" s="10" t="n"/>
      <c r="R128" s="18" t="n"/>
      <c r="S128" s="20">
        <f>IF(COUNTA(B128:R128)=0,"",IF((IF(((B128="")+(C128="")+(D128="")+(E128="")+(F128="")+(H128="")+(I128="")+(J128="")+(M128="")+(Q128=""))&gt;0,"• حقول إلزامية ناقصة ","")&amp;IF(AND(D128&lt;&gt;"",COUNTIF($D$6:$D$205,D128)&gt;1),"• اسم المستخدم مكرر ","")&amp;IF(AND(D128&lt;&gt;"",ISNUMBER(SEARCH(" ",D128))),"• اسم المستخدم فيه مسافة ","")&amp;IF(AND(E128&lt;&gt;"",OR(ISERROR(SEARCH("@",E128)),ISERROR(SEARCH(".",E128)))),"• البريد غير صحيح ","")&amp;IF(AND(F128&lt;&gt;"",OR(LEN(F128)&lt;&gt;10,LEFT(F128,2)&lt;&gt;"05",ISERROR(--F128))),"• الجوال ليس بصيغة 05XXXXXXXX ","")&amp;IF(AND(L128&lt;&gt;"",OR(LEN(L128)&lt;2,LEN(L128)&gt;6,ISERROR(--L128),ISNUMBER(SEARCH(".",L128)))),"• التحويلة يجب أن تكون 2-6 أرقام ","")&amp;IF(AND(L128&lt;&gt;"",COUNTIF($L$6:$L$205,L128)&gt;1),"• التحويلة مكررة ","")&amp;IF(AND(M128="نعم",L128=""),"• يجري مكالمات بدون تحويلة ","")&amp;IF(AND(K128&lt;&gt;"",COUNTIF($D$6:$D$205,K128)=0),"• المشرف غير موجود في الجدول ","")&amp;IF(AND(J128="موظف تحصيل",K128=""),"• موظف التحصيل يحتاج مشرفاً ","")&amp;IF(AND(O128&lt;&gt;"",P128=""),"• نوع الهدف بدون قيمة ",""))="","✔ مكتمل",IF(((B128="")+(C128="")+(D128="")+(E128="")+(F128="")+(H128="")+(I128="")+(J128="")+(M128="")+(Q128=""))&gt;0,"• حقول إلزامية ناقصة ","")&amp;IF(AND(D128&lt;&gt;"",COUNTIF($D$6:$D$205,D128)&gt;1),"• اسم المستخدم مكرر ","")&amp;IF(AND(D128&lt;&gt;"",ISNUMBER(SEARCH(" ",D128))),"• اسم المستخدم فيه مسافة ","")&amp;IF(AND(E128&lt;&gt;"",OR(ISERROR(SEARCH("@",E128)),ISERROR(SEARCH(".",E128)))),"• البريد غير صحيح ","")&amp;IF(AND(F128&lt;&gt;"",OR(LEN(F128)&lt;&gt;10,LEFT(F128,2)&lt;&gt;"05",ISERROR(--F128))),"• الجوال ليس بصيغة 05XXXXXXXX ","")&amp;IF(AND(L128&lt;&gt;"",OR(LEN(L128)&lt;2,LEN(L128)&gt;6,ISERROR(--L128),ISNUMBER(SEARCH(".",L128)))),"• التحويلة يجب أن تكون 2-6 أرقام ","")&amp;IF(AND(L128&lt;&gt;"",COUNTIF($L$6:$L$205,L128)&gt;1),"• التحويلة مكررة ","")&amp;IF(AND(M128="نعم",L128=""),"• يجري مكالمات بدون تحويلة ","")&amp;IF(AND(K128&lt;&gt;"",COUNTIF($D$6:$D$205,K128)=0),"• المشرف غير موجود في الجدول ","")&amp;IF(AND(J128="موظف تحصيل",K128=""),"• موظف التحصيل يحتاج مشرفاً ","")&amp;IF(AND(O128&lt;&gt;"",P128=""),"• نوع الهدف بدون قيمة ","")))</f>
        <v/>
      </c>
    </row>
    <row r="129">
      <c r="A129" s="17">
        <f>IF(COUNTA(B129:R129)=0,"",ROW()-5)</f>
        <v/>
      </c>
      <c r="B129" s="18" t="n"/>
      <c r="C129" s="18" t="n"/>
      <c r="D129" s="18" t="n"/>
      <c r="E129" s="18" t="n"/>
      <c r="F129" s="18" t="n"/>
      <c r="G129" s="18" t="n"/>
      <c r="H129" s="10" t="n"/>
      <c r="I129" s="10" t="n"/>
      <c r="J129" s="10" t="n"/>
      <c r="K129" s="10" t="n"/>
      <c r="L129" s="18" t="n"/>
      <c r="M129" s="10" t="n"/>
      <c r="N129" s="18" t="n"/>
      <c r="O129" s="10" t="n"/>
      <c r="P129" s="19" t="n"/>
      <c r="Q129" s="10" t="n"/>
      <c r="R129" s="18" t="n"/>
      <c r="S129" s="20">
        <f>IF(COUNTA(B129:R129)=0,"",IF((IF(((B129="")+(C129="")+(D129="")+(E129="")+(F129="")+(H129="")+(I129="")+(J129="")+(M129="")+(Q129=""))&gt;0,"• حقول إلزامية ناقصة ","")&amp;IF(AND(D129&lt;&gt;"",COUNTIF($D$6:$D$205,D129)&gt;1),"• اسم المستخدم مكرر ","")&amp;IF(AND(D129&lt;&gt;"",ISNUMBER(SEARCH(" ",D129))),"• اسم المستخدم فيه مسافة ","")&amp;IF(AND(E129&lt;&gt;"",OR(ISERROR(SEARCH("@",E129)),ISERROR(SEARCH(".",E129)))),"• البريد غير صحيح ","")&amp;IF(AND(F129&lt;&gt;"",OR(LEN(F129)&lt;&gt;10,LEFT(F129,2)&lt;&gt;"05",ISERROR(--F129))),"• الجوال ليس بصيغة 05XXXXXXXX ","")&amp;IF(AND(L129&lt;&gt;"",OR(LEN(L129)&lt;2,LEN(L129)&gt;6,ISERROR(--L129),ISNUMBER(SEARCH(".",L129)))),"• التحويلة يجب أن تكون 2-6 أرقام ","")&amp;IF(AND(L129&lt;&gt;"",COUNTIF($L$6:$L$205,L129)&gt;1),"• التحويلة مكررة ","")&amp;IF(AND(M129="نعم",L129=""),"• يجري مكالمات بدون تحويلة ","")&amp;IF(AND(K129&lt;&gt;"",COUNTIF($D$6:$D$205,K129)=0),"• المشرف غير موجود في الجدول ","")&amp;IF(AND(J129="موظف تحصيل",K129=""),"• موظف التحصيل يحتاج مشرفاً ","")&amp;IF(AND(O129&lt;&gt;"",P129=""),"• نوع الهدف بدون قيمة ",""))="","✔ مكتمل",IF(((B129="")+(C129="")+(D129="")+(E129="")+(F129="")+(H129="")+(I129="")+(J129="")+(M129="")+(Q129=""))&gt;0,"• حقول إلزامية ناقصة ","")&amp;IF(AND(D129&lt;&gt;"",COUNTIF($D$6:$D$205,D129)&gt;1),"• اسم المستخدم مكرر ","")&amp;IF(AND(D129&lt;&gt;"",ISNUMBER(SEARCH(" ",D129))),"• اسم المستخدم فيه مسافة ","")&amp;IF(AND(E129&lt;&gt;"",OR(ISERROR(SEARCH("@",E129)),ISERROR(SEARCH(".",E129)))),"• البريد غير صحيح ","")&amp;IF(AND(F129&lt;&gt;"",OR(LEN(F129)&lt;&gt;10,LEFT(F129,2)&lt;&gt;"05",ISERROR(--F129))),"• الجوال ليس بصيغة 05XXXXXXXX ","")&amp;IF(AND(L129&lt;&gt;"",OR(LEN(L129)&lt;2,LEN(L129)&gt;6,ISERROR(--L129),ISNUMBER(SEARCH(".",L129)))),"• التحويلة يجب أن تكون 2-6 أرقام ","")&amp;IF(AND(L129&lt;&gt;"",COUNTIF($L$6:$L$205,L129)&gt;1),"• التحويلة مكررة ","")&amp;IF(AND(M129="نعم",L129=""),"• يجري مكالمات بدون تحويلة ","")&amp;IF(AND(K129&lt;&gt;"",COUNTIF($D$6:$D$205,K129)=0),"• المشرف غير موجود في الجدول ","")&amp;IF(AND(J129="موظف تحصيل",K129=""),"• موظف التحصيل يحتاج مشرفاً ","")&amp;IF(AND(O129&lt;&gt;"",P129=""),"• نوع الهدف بدون قيمة ","")))</f>
        <v/>
      </c>
    </row>
    <row r="130">
      <c r="A130" s="17">
        <f>IF(COUNTA(B130:R130)=0,"",ROW()-5)</f>
        <v/>
      </c>
      <c r="B130" s="18" t="n"/>
      <c r="C130" s="18" t="n"/>
      <c r="D130" s="18" t="n"/>
      <c r="E130" s="18" t="n"/>
      <c r="F130" s="18" t="n"/>
      <c r="G130" s="18" t="n"/>
      <c r="H130" s="10" t="n"/>
      <c r="I130" s="10" t="n"/>
      <c r="J130" s="10" t="n"/>
      <c r="K130" s="10" t="n"/>
      <c r="L130" s="18" t="n"/>
      <c r="M130" s="10" t="n"/>
      <c r="N130" s="18" t="n"/>
      <c r="O130" s="10" t="n"/>
      <c r="P130" s="19" t="n"/>
      <c r="Q130" s="10" t="n"/>
      <c r="R130" s="18" t="n"/>
      <c r="S130" s="20">
        <f>IF(COUNTA(B130:R130)=0,"",IF((IF(((B130="")+(C130="")+(D130="")+(E130="")+(F130="")+(H130="")+(I130="")+(J130="")+(M130="")+(Q130=""))&gt;0,"• حقول إلزامية ناقصة ","")&amp;IF(AND(D130&lt;&gt;"",COUNTIF($D$6:$D$205,D130)&gt;1),"• اسم المستخدم مكرر ","")&amp;IF(AND(D130&lt;&gt;"",ISNUMBER(SEARCH(" ",D130))),"• اسم المستخدم فيه مسافة ","")&amp;IF(AND(E130&lt;&gt;"",OR(ISERROR(SEARCH("@",E130)),ISERROR(SEARCH(".",E130)))),"• البريد غير صحيح ","")&amp;IF(AND(F130&lt;&gt;"",OR(LEN(F130)&lt;&gt;10,LEFT(F130,2)&lt;&gt;"05",ISERROR(--F130))),"• الجوال ليس بصيغة 05XXXXXXXX ","")&amp;IF(AND(L130&lt;&gt;"",OR(LEN(L130)&lt;2,LEN(L130)&gt;6,ISERROR(--L130),ISNUMBER(SEARCH(".",L130)))),"• التحويلة يجب أن تكون 2-6 أرقام ","")&amp;IF(AND(L130&lt;&gt;"",COUNTIF($L$6:$L$205,L130)&gt;1),"• التحويلة مكررة ","")&amp;IF(AND(M130="نعم",L130=""),"• يجري مكالمات بدون تحويلة ","")&amp;IF(AND(K130&lt;&gt;"",COUNTIF($D$6:$D$205,K130)=0),"• المشرف غير موجود في الجدول ","")&amp;IF(AND(J130="موظف تحصيل",K130=""),"• موظف التحصيل يحتاج مشرفاً ","")&amp;IF(AND(O130&lt;&gt;"",P130=""),"• نوع الهدف بدون قيمة ",""))="","✔ مكتمل",IF(((B130="")+(C130="")+(D130="")+(E130="")+(F130="")+(H130="")+(I130="")+(J130="")+(M130="")+(Q130=""))&gt;0,"• حقول إلزامية ناقصة ","")&amp;IF(AND(D130&lt;&gt;"",COUNTIF($D$6:$D$205,D130)&gt;1),"• اسم المستخدم مكرر ","")&amp;IF(AND(D130&lt;&gt;"",ISNUMBER(SEARCH(" ",D130))),"• اسم المستخدم فيه مسافة ","")&amp;IF(AND(E130&lt;&gt;"",OR(ISERROR(SEARCH("@",E130)),ISERROR(SEARCH(".",E130)))),"• البريد غير صحيح ","")&amp;IF(AND(F130&lt;&gt;"",OR(LEN(F130)&lt;&gt;10,LEFT(F130,2)&lt;&gt;"05",ISERROR(--F130))),"• الجوال ليس بصيغة 05XXXXXXXX ","")&amp;IF(AND(L130&lt;&gt;"",OR(LEN(L130)&lt;2,LEN(L130)&gt;6,ISERROR(--L130),ISNUMBER(SEARCH(".",L130)))),"• التحويلة يجب أن تكون 2-6 أرقام ","")&amp;IF(AND(L130&lt;&gt;"",COUNTIF($L$6:$L$205,L130)&gt;1),"• التحويلة مكررة ","")&amp;IF(AND(M130="نعم",L130=""),"• يجري مكالمات بدون تحويلة ","")&amp;IF(AND(K130&lt;&gt;"",COUNTIF($D$6:$D$205,K130)=0),"• المشرف غير موجود في الجدول ","")&amp;IF(AND(J130="موظف تحصيل",K130=""),"• موظف التحصيل يحتاج مشرفاً ","")&amp;IF(AND(O130&lt;&gt;"",P130=""),"• نوع الهدف بدون قيمة ","")))</f>
        <v/>
      </c>
    </row>
    <row r="131">
      <c r="A131" s="17">
        <f>IF(COUNTA(B131:R131)=0,"",ROW()-5)</f>
        <v/>
      </c>
      <c r="B131" s="18" t="n"/>
      <c r="C131" s="18" t="n"/>
      <c r="D131" s="18" t="n"/>
      <c r="E131" s="18" t="n"/>
      <c r="F131" s="18" t="n"/>
      <c r="G131" s="18" t="n"/>
      <c r="H131" s="10" t="n"/>
      <c r="I131" s="10" t="n"/>
      <c r="J131" s="10" t="n"/>
      <c r="K131" s="10" t="n"/>
      <c r="L131" s="18" t="n"/>
      <c r="M131" s="10" t="n"/>
      <c r="N131" s="18" t="n"/>
      <c r="O131" s="10" t="n"/>
      <c r="P131" s="19" t="n"/>
      <c r="Q131" s="10" t="n"/>
      <c r="R131" s="18" t="n"/>
      <c r="S131" s="20">
        <f>IF(COUNTA(B131:R131)=0,"",IF((IF(((B131="")+(C131="")+(D131="")+(E131="")+(F131="")+(H131="")+(I131="")+(J131="")+(M131="")+(Q131=""))&gt;0,"• حقول إلزامية ناقصة ","")&amp;IF(AND(D131&lt;&gt;"",COUNTIF($D$6:$D$205,D131)&gt;1),"• اسم المستخدم مكرر ","")&amp;IF(AND(D131&lt;&gt;"",ISNUMBER(SEARCH(" ",D131))),"• اسم المستخدم فيه مسافة ","")&amp;IF(AND(E131&lt;&gt;"",OR(ISERROR(SEARCH("@",E131)),ISERROR(SEARCH(".",E131)))),"• البريد غير صحيح ","")&amp;IF(AND(F131&lt;&gt;"",OR(LEN(F131)&lt;&gt;10,LEFT(F131,2)&lt;&gt;"05",ISERROR(--F131))),"• الجوال ليس بصيغة 05XXXXXXXX ","")&amp;IF(AND(L131&lt;&gt;"",OR(LEN(L131)&lt;2,LEN(L131)&gt;6,ISERROR(--L131),ISNUMBER(SEARCH(".",L131)))),"• التحويلة يجب أن تكون 2-6 أرقام ","")&amp;IF(AND(L131&lt;&gt;"",COUNTIF($L$6:$L$205,L131)&gt;1),"• التحويلة مكررة ","")&amp;IF(AND(M131="نعم",L131=""),"• يجري مكالمات بدون تحويلة ","")&amp;IF(AND(K131&lt;&gt;"",COUNTIF($D$6:$D$205,K131)=0),"• المشرف غير موجود في الجدول ","")&amp;IF(AND(J131="موظف تحصيل",K131=""),"• موظف التحصيل يحتاج مشرفاً ","")&amp;IF(AND(O131&lt;&gt;"",P131=""),"• نوع الهدف بدون قيمة ",""))="","✔ مكتمل",IF(((B131="")+(C131="")+(D131="")+(E131="")+(F131="")+(H131="")+(I131="")+(J131="")+(M131="")+(Q131=""))&gt;0,"• حقول إلزامية ناقصة ","")&amp;IF(AND(D131&lt;&gt;"",COUNTIF($D$6:$D$205,D131)&gt;1),"• اسم المستخدم مكرر ","")&amp;IF(AND(D131&lt;&gt;"",ISNUMBER(SEARCH(" ",D131))),"• اسم المستخدم فيه مسافة ","")&amp;IF(AND(E131&lt;&gt;"",OR(ISERROR(SEARCH("@",E131)),ISERROR(SEARCH(".",E131)))),"• البريد غير صحيح ","")&amp;IF(AND(F131&lt;&gt;"",OR(LEN(F131)&lt;&gt;10,LEFT(F131,2)&lt;&gt;"05",ISERROR(--F131))),"• الجوال ليس بصيغة 05XXXXXXXX ","")&amp;IF(AND(L131&lt;&gt;"",OR(LEN(L131)&lt;2,LEN(L131)&gt;6,ISERROR(--L131),ISNUMBER(SEARCH(".",L131)))),"• التحويلة يجب أن تكون 2-6 أرقام ","")&amp;IF(AND(L131&lt;&gt;"",COUNTIF($L$6:$L$205,L131)&gt;1),"• التحويلة مكررة ","")&amp;IF(AND(M131="نعم",L131=""),"• يجري مكالمات بدون تحويلة ","")&amp;IF(AND(K131&lt;&gt;"",COUNTIF($D$6:$D$205,K131)=0),"• المشرف غير موجود في الجدول ","")&amp;IF(AND(J131="موظف تحصيل",K131=""),"• موظف التحصيل يحتاج مشرفاً ","")&amp;IF(AND(O131&lt;&gt;"",P131=""),"• نوع الهدف بدون قيمة ","")))</f>
        <v/>
      </c>
    </row>
    <row r="132">
      <c r="A132" s="17">
        <f>IF(COUNTA(B132:R132)=0,"",ROW()-5)</f>
        <v/>
      </c>
      <c r="B132" s="18" t="n"/>
      <c r="C132" s="18" t="n"/>
      <c r="D132" s="18" t="n"/>
      <c r="E132" s="18" t="n"/>
      <c r="F132" s="18" t="n"/>
      <c r="G132" s="18" t="n"/>
      <c r="H132" s="10" t="n"/>
      <c r="I132" s="10" t="n"/>
      <c r="J132" s="10" t="n"/>
      <c r="K132" s="10" t="n"/>
      <c r="L132" s="18" t="n"/>
      <c r="M132" s="10" t="n"/>
      <c r="N132" s="18" t="n"/>
      <c r="O132" s="10" t="n"/>
      <c r="P132" s="19" t="n"/>
      <c r="Q132" s="10" t="n"/>
      <c r="R132" s="18" t="n"/>
      <c r="S132" s="20">
        <f>IF(COUNTA(B132:R132)=0,"",IF((IF(((B132="")+(C132="")+(D132="")+(E132="")+(F132="")+(H132="")+(I132="")+(J132="")+(M132="")+(Q132=""))&gt;0,"• حقول إلزامية ناقصة ","")&amp;IF(AND(D132&lt;&gt;"",COUNTIF($D$6:$D$205,D132)&gt;1),"• اسم المستخدم مكرر ","")&amp;IF(AND(D132&lt;&gt;"",ISNUMBER(SEARCH(" ",D132))),"• اسم المستخدم فيه مسافة ","")&amp;IF(AND(E132&lt;&gt;"",OR(ISERROR(SEARCH("@",E132)),ISERROR(SEARCH(".",E132)))),"• البريد غير صحيح ","")&amp;IF(AND(F132&lt;&gt;"",OR(LEN(F132)&lt;&gt;10,LEFT(F132,2)&lt;&gt;"05",ISERROR(--F132))),"• الجوال ليس بصيغة 05XXXXXXXX ","")&amp;IF(AND(L132&lt;&gt;"",OR(LEN(L132)&lt;2,LEN(L132)&gt;6,ISERROR(--L132),ISNUMBER(SEARCH(".",L132)))),"• التحويلة يجب أن تكون 2-6 أرقام ","")&amp;IF(AND(L132&lt;&gt;"",COUNTIF($L$6:$L$205,L132)&gt;1),"• التحويلة مكررة ","")&amp;IF(AND(M132="نعم",L132=""),"• يجري مكالمات بدون تحويلة ","")&amp;IF(AND(K132&lt;&gt;"",COUNTIF($D$6:$D$205,K132)=0),"• المشرف غير موجود في الجدول ","")&amp;IF(AND(J132="موظف تحصيل",K132=""),"• موظف التحصيل يحتاج مشرفاً ","")&amp;IF(AND(O132&lt;&gt;"",P132=""),"• نوع الهدف بدون قيمة ",""))="","✔ مكتمل",IF(((B132="")+(C132="")+(D132="")+(E132="")+(F132="")+(H132="")+(I132="")+(J132="")+(M132="")+(Q132=""))&gt;0,"• حقول إلزامية ناقصة ","")&amp;IF(AND(D132&lt;&gt;"",COUNTIF($D$6:$D$205,D132)&gt;1),"• اسم المستخدم مكرر ","")&amp;IF(AND(D132&lt;&gt;"",ISNUMBER(SEARCH(" ",D132))),"• اسم المستخدم فيه مسافة ","")&amp;IF(AND(E132&lt;&gt;"",OR(ISERROR(SEARCH("@",E132)),ISERROR(SEARCH(".",E132)))),"• البريد غير صحيح ","")&amp;IF(AND(F132&lt;&gt;"",OR(LEN(F132)&lt;&gt;10,LEFT(F132,2)&lt;&gt;"05",ISERROR(--F132))),"• الجوال ليس بصيغة 05XXXXXXXX ","")&amp;IF(AND(L132&lt;&gt;"",OR(LEN(L132)&lt;2,LEN(L132)&gt;6,ISERROR(--L132),ISNUMBER(SEARCH(".",L132)))),"• التحويلة يجب أن تكون 2-6 أرقام ","")&amp;IF(AND(L132&lt;&gt;"",COUNTIF($L$6:$L$205,L132)&gt;1),"• التحويلة مكررة ","")&amp;IF(AND(M132="نعم",L132=""),"• يجري مكالمات بدون تحويلة ","")&amp;IF(AND(K132&lt;&gt;"",COUNTIF($D$6:$D$205,K132)=0),"• المشرف غير موجود في الجدول ","")&amp;IF(AND(J132="موظف تحصيل",K132=""),"• موظف التحصيل يحتاج مشرفاً ","")&amp;IF(AND(O132&lt;&gt;"",P132=""),"• نوع الهدف بدون قيمة ","")))</f>
        <v/>
      </c>
    </row>
    <row r="133">
      <c r="A133" s="17">
        <f>IF(COUNTA(B133:R133)=0,"",ROW()-5)</f>
        <v/>
      </c>
      <c r="B133" s="18" t="n"/>
      <c r="C133" s="18" t="n"/>
      <c r="D133" s="18" t="n"/>
      <c r="E133" s="18" t="n"/>
      <c r="F133" s="18" t="n"/>
      <c r="G133" s="18" t="n"/>
      <c r="H133" s="10" t="n"/>
      <c r="I133" s="10" t="n"/>
      <c r="J133" s="10" t="n"/>
      <c r="K133" s="10" t="n"/>
      <c r="L133" s="18" t="n"/>
      <c r="M133" s="10" t="n"/>
      <c r="N133" s="18" t="n"/>
      <c r="O133" s="10" t="n"/>
      <c r="P133" s="19" t="n"/>
      <c r="Q133" s="10" t="n"/>
      <c r="R133" s="18" t="n"/>
      <c r="S133" s="20">
        <f>IF(COUNTA(B133:R133)=0,"",IF((IF(((B133="")+(C133="")+(D133="")+(E133="")+(F133="")+(H133="")+(I133="")+(J133="")+(M133="")+(Q133=""))&gt;0,"• حقول إلزامية ناقصة ","")&amp;IF(AND(D133&lt;&gt;"",COUNTIF($D$6:$D$205,D133)&gt;1),"• اسم المستخدم مكرر ","")&amp;IF(AND(D133&lt;&gt;"",ISNUMBER(SEARCH(" ",D133))),"• اسم المستخدم فيه مسافة ","")&amp;IF(AND(E133&lt;&gt;"",OR(ISERROR(SEARCH("@",E133)),ISERROR(SEARCH(".",E133)))),"• البريد غير صحيح ","")&amp;IF(AND(F133&lt;&gt;"",OR(LEN(F133)&lt;&gt;10,LEFT(F133,2)&lt;&gt;"05",ISERROR(--F133))),"• الجوال ليس بصيغة 05XXXXXXXX ","")&amp;IF(AND(L133&lt;&gt;"",OR(LEN(L133)&lt;2,LEN(L133)&gt;6,ISERROR(--L133),ISNUMBER(SEARCH(".",L133)))),"• التحويلة يجب أن تكون 2-6 أرقام ","")&amp;IF(AND(L133&lt;&gt;"",COUNTIF($L$6:$L$205,L133)&gt;1),"• التحويلة مكررة ","")&amp;IF(AND(M133="نعم",L133=""),"• يجري مكالمات بدون تحويلة ","")&amp;IF(AND(K133&lt;&gt;"",COUNTIF($D$6:$D$205,K133)=0),"• المشرف غير موجود في الجدول ","")&amp;IF(AND(J133="موظف تحصيل",K133=""),"• موظف التحصيل يحتاج مشرفاً ","")&amp;IF(AND(O133&lt;&gt;"",P133=""),"• نوع الهدف بدون قيمة ",""))="","✔ مكتمل",IF(((B133="")+(C133="")+(D133="")+(E133="")+(F133="")+(H133="")+(I133="")+(J133="")+(M133="")+(Q133=""))&gt;0,"• حقول إلزامية ناقصة ","")&amp;IF(AND(D133&lt;&gt;"",COUNTIF($D$6:$D$205,D133)&gt;1),"• اسم المستخدم مكرر ","")&amp;IF(AND(D133&lt;&gt;"",ISNUMBER(SEARCH(" ",D133))),"• اسم المستخدم فيه مسافة ","")&amp;IF(AND(E133&lt;&gt;"",OR(ISERROR(SEARCH("@",E133)),ISERROR(SEARCH(".",E133)))),"• البريد غير صحيح ","")&amp;IF(AND(F133&lt;&gt;"",OR(LEN(F133)&lt;&gt;10,LEFT(F133,2)&lt;&gt;"05",ISERROR(--F133))),"• الجوال ليس بصيغة 05XXXXXXXX ","")&amp;IF(AND(L133&lt;&gt;"",OR(LEN(L133)&lt;2,LEN(L133)&gt;6,ISERROR(--L133),ISNUMBER(SEARCH(".",L133)))),"• التحويلة يجب أن تكون 2-6 أرقام ","")&amp;IF(AND(L133&lt;&gt;"",COUNTIF($L$6:$L$205,L133)&gt;1),"• التحويلة مكررة ","")&amp;IF(AND(M133="نعم",L133=""),"• يجري مكالمات بدون تحويلة ","")&amp;IF(AND(K133&lt;&gt;"",COUNTIF($D$6:$D$205,K133)=0),"• المشرف غير موجود في الجدول ","")&amp;IF(AND(J133="موظف تحصيل",K133=""),"• موظف التحصيل يحتاج مشرفاً ","")&amp;IF(AND(O133&lt;&gt;"",P133=""),"• نوع الهدف بدون قيمة ","")))</f>
        <v/>
      </c>
    </row>
    <row r="134">
      <c r="A134" s="17">
        <f>IF(COUNTA(B134:R134)=0,"",ROW()-5)</f>
        <v/>
      </c>
      <c r="B134" s="18" t="n"/>
      <c r="C134" s="18" t="n"/>
      <c r="D134" s="18" t="n"/>
      <c r="E134" s="18" t="n"/>
      <c r="F134" s="18" t="n"/>
      <c r="G134" s="18" t="n"/>
      <c r="H134" s="10" t="n"/>
      <c r="I134" s="10" t="n"/>
      <c r="J134" s="10" t="n"/>
      <c r="K134" s="10" t="n"/>
      <c r="L134" s="18" t="n"/>
      <c r="M134" s="10" t="n"/>
      <c r="N134" s="18" t="n"/>
      <c r="O134" s="10" t="n"/>
      <c r="P134" s="19" t="n"/>
      <c r="Q134" s="10" t="n"/>
      <c r="R134" s="18" t="n"/>
      <c r="S134" s="20">
        <f>IF(COUNTA(B134:R134)=0,"",IF((IF(((B134="")+(C134="")+(D134="")+(E134="")+(F134="")+(H134="")+(I134="")+(J134="")+(M134="")+(Q134=""))&gt;0,"• حقول إلزامية ناقصة ","")&amp;IF(AND(D134&lt;&gt;"",COUNTIF($D$6:$D$205,D134)&gt;1),"• اسم المستخدم مكرر ","")&amp;IF(AND(D134&lt;&gt;"",ISNUMBER(SEARCH(" ",D134))),"• اسم المستخدم فيه مسافة ","")&amp;IF(AND(E134&lt;&gt;"",OR(ISERROR(SEARCH("@",E134)),ISERROR(SEARCH(".",E134)))),"• البريد غير صحيح ","")&amp;IF(AND(F134&lt;&gt;"",OR(LEN(F134)&lt;&gt;10,LEFT(F134,2)&lt;&gt;"05",ISERROR(--F134))),"• الجوال ليس بصيغة 05XXXXXXXX ","")&amp;IF(AND(L134&lt;&gt;"",OR(LEN(L134)&lt;2,LEN(L134)&gt;6,ISERROR(--L134),ISNUMBER(SEARCH(".",L134)))),"• التحويلة يجب أن تكون 2-6 أرقام ","")&amp;IF(AND(L134&lt;&gt;"",COUNTIF($L$6:$L$205,L134)&gt;1),"• التحويلة مكررة ","")&amp;IF(AND(M134="نعم",L134=""),"• يجري مكالمات بدون تحويلة ","")&amp;IF(AND(K134&lt;&gt;"",COUNTIF($D$6:$D$205,K134)=0),"• المشرف غير موجود في الجدول ","")&amp;IF(AND(J134="موظف تحصيل",K134=""),"• موظف التحصيل يحتاج مشرفاً ","")&amp;IF(AND(O134&lt;&gt;"",P134=""),"• نوع الهدف بدون قيمة ",""))="","✔ مكتمل",IF(((B134="")+(C134="")+(D134="")+(E134="")+(F134="")+(H134="")+(I134="")+(J134="")+(M134="")+(Q134=""))&gt;0,"• حقول إلزامية ناقصة ","")&amp;IF(AND(D134&lt;&gt;"",COUNTIF($D$6:$D$205,D134)&gt;1),"• اسم المستخدم مكرر ","")&amp;IF(AND(D134&lt;&gt;"",ISNUMBER(SEARCH(" ",D134))),"• اسم المستخدم فيه مسافة ","")&amp;IF(AND(E134&lt;&gt;"",OR(ISERROR(SEARCH("@",E134)),ISERROR(SEARCH(".",E134)))),"• البريد غير صحيح ","")&amp;IF(AND(F134&lt;&gt;"",OR(LEN(F134)&lt;&gt;10,LEFT(F134,2)&lt;&gt;"05",ISERROR(--F134))),"• الجوال ليس بصيغة 05XXXXXXXX ","")&amp;IF(AND(L134&lt;&gt;"",OR(LEN(L134)&lt;2,LEN(L134)&gt;6,ISERROR(--L134),ISNUMBER(SEARCH(".",L134)))),"• التحويلة يجب أن تكون 2-6 أرقام ","")&amp;IF(AND(L134&lt;&gt;"",COUNTIF($L$6:$L$205,L134)&gt;1),"• التحويلة مكررة ","")&amp;IF(AND(M134="نعم",L134=""),"• يجري مكالمات بدون تحويلة ","")&amp;IF(AND(K134&lt;&gt;"",COUNTIF($D$6:$D$205,K134)=0),"• المشرف غير موجود في الجدول ","")&amp;IF(AND(J134="موظف تحصيل",K134=""),"• موظف التحصيل يحتاج مشرفاً ","")&amp;IF(AND(O134&lt;&gt;"",P134=""),"• نوع الهدف بدون قيمة ","")))</f>
        <v/>
      </c>
    </row>
    <row r="135">
      <c r="A135" s="17">
        <f>IF(COUNTA(B135:R135)=0,"",ROW()-5)</f>
        <v/>
      </c>
      <c r="B135" s="18" t="n"/>
      <c r="C135" s="18" t="n"/>
      <c r="D135" s="18" t="n"/>
      <c r="E135" s="18" t="n"/>
      <c r="F135" s="18" t="n"/>
      <c r="G135" s="18" t="n"/>
      <c r="H135" s="10" t="n"/>
      <c r="I135" s="10" t="n"/>
      <c r="J135" s="10" t="n"/>
      <c r="K135" s="10" t="n"/>
      <c r="L135" s="18" t="n"/>
      <c r="M135" s="10" t="n"/>
      <c r="N135" s="18" t="n"/>
      <c r="O135" s="10" t="n"/>
      <c r="P135" s="19" t="n"/>
      <c r="Q135" s="10" t="n"/>
      <c r="R135" s="18" t="n"/>
      <c r="S135" s="20">
        <f>IF(COUNTA(B135:R135)=0,"",IF((IF(((B135="")+(C135="")+(D135="")+(E135="")+(F135="")+(H135="")+(I135="")+(J135="")+(M135="")+(Q135=""))&gt;0,"• حقول إلزامية ناقصة ","")&amp;IF(AND(D135&lt;&gt;"",COUNTIF($D$6:$D$205,D135)&gt;1),"• اسم المستخدم مكرر ","")&amp;IF(AND(D135&lt;&gt;"",ISNUMBER(SEARCH(" ",D135))),"• اسم المستخدم فيه مسافة ","")&amp;IF(AND(E135&lt;&gt;"",OR(ISERROR(SEARCH("@",E135)),ISERROR(SEARCH(".",E135)))),"• البريد غير صحيح ","")&amp;IF(AND(F135&lt;&gt;"",OR(LEN(F135)&lt;&gt;10,LEFT(F135,2)&lt;&gt;"05",ISERROR(--F135))),"• الجوال ليس بصيغة 05XXXXXXXX ","")&amp;IF(AND(L135&lt;&gt;"",OR(LEN(L135)&lt;2,LEN(L135)&gt;6,ISERROR(--L135),ISNUMBER(SEARCH(".",L135)))),"• التحويلة يجب أن تكون 2-6 أرقام ","")&amp;IF(AND(L135&lt;&gt;"",COUNTIF($L$6:$L$205,L135)&gt;1),"• التحويلة مكررة ","")&amp;IF(AND(M135="نعم",L135=""),"• يجري مكالمات بدون تحويلة ","")&amp;IF(AND(K135&lt;&gt;"",COUNTIF($D$6:$D$205,K135)=0),"• المشرف غير موجود في الجدول ","")&amp;IF(AND(J135="موظف تحصيل",K135=""),"• موظف التحصيل يحتاج مشرفاً ","")&amp;IF(AND(O135&lt;&gt;"",P135=""),"• نوع الهدف بدون قيمة ",""))="","✔ مكتمل",IF(((B135="")+(C135="")+(D135="")+(E135="")+(F135="")+(H135="")+(I135="")+(J135="")+(M135="")+(Q135=""))&gt;0,"• حقول إلزامية ناقصة ","")&amp;IF(AND(D135&lt;&gt;"",COUNTIF($D$6:$D$205,D135)&gt;1),"• اسم المستخدم مكرر ","")&amp;IF(AND(D135&lt;&gt;"",ISNUMBER(SEARCH(" ",D135))),"• اسم المستخدم فيه مسافة ","")&amp;IF(AND(E135&lt;&gt;"",OR(ISERROR(SEARCH("@",E135)),ISERROR(SEARCH(".",E135)))),"• البريد غير صحيح ","")&amp;IF(AND(F135&lt;&gt;"",OR(LEN(F135)&lt;&gt;10,LEFT(F135,2)&lt;&gt;"05",ISERROR(--F135))),"• الجوال ليس بصيغة 05XXXXXXXX ","")&amp;IF(AND(L135&lt;&gt;"",OR(LEN(L135)&lt;2,LEN(L135)&gt;6,ISERROR(--L135),ISNUMBER(SEARCH(".",L135)))),"• التحويلة يجب أن تكون 2-6 أرقام ","")&amp;IF(AND(L135&lt;&gt;"",COUNTIF($L$6:$L$205,L135)&gt;1),"• التحويلة مكررة ","")&amp;IF(AND(M135="نعم",L135=""),"• يجري مكالمات بدون تحويلة ","")&amp;IF(AND(K135&lt;&gt;"",COUNTIF($D$6:$D$205,K135)=0),"• المشرف غير موجود في الجدول ","")&amp;IF(AND(J135="موظف تحصيل",K135=""),"• موظف التحصيل يحتاج مشرفاً ","")&amp;IF(AND(O135&lt;&gt;"",P135=""),"• نوع الهدف بدون قيمة ","")))</f>
        <v/>
      </c>
    </row>
    <row r="136">
      <c r="A136" s="17">
        <f>IF(COUNTA(B136:R136)=0,"",ROW()-5)</f>
        <v/>
      </c>
      <c r="B136" s="18" t="n"/>
      <c r="C136" s="18" t="n"/>
      <c r="D136" s="18" t="n"/>
      <c r="E136" s="18" t="n"/>
      <c r="F136" s="18" t="n"/>
      <c r="G136" s="18" t="n"/>
      <c r="H136" s="10" t="n"/>
      <c r="I136" s="10" t="n"/>
      <c r="J136" s="10" t="n"/>
      <c r="K136" s="10" t="n"/>
      <c r="L136" s="18" t="n"/>
      <c r="M136" s="10" t="n"/>
      <c r="N136" s="18" t="n"/>
      <c r="O136" s="10" t="n"/>
      <c r="P136" s="19" t="n"/>
      <c r="Q136" s="10" t="n"/>
      <c r="R136" s="18" t="n"/>
      <c r="S136" s="20">
        <f>IF(COUNTA(B136:R136)=0,"",IF((IF(((B136="")+(C136="")+(D136="")+(E136="")+(F136="")+(H136="")+(I136="")+(J136="")+(M136="")+(Q136=""))&gt;0,"• حقول إلزامية ناقصة ","")&amp;IF(AND(D136&lt;&gt;"",COUNTIF($D$6:$D$205,D136)&gt;1),"• اسم المستخدم مكرر ","")&amp;IF(AND(D136&lt;&gt;"",ISNUMBER(SEARCH(" ",D136))),"• اسم المستخدم فيه مسافة ","")&amp;IF(AND(E136&lt;&gt;"",OR(ISERROR(SEARCH("@",E136)),ISERROR(SEARCH(".",E136)))),"• البريد غير صحيح ","")&amp;IF(AND(F136&lt;&gt;"",OR(LEN(F136)&lt;&gt;10,LEFT(F136,2)&lt;&gt;"05",ISERROR(--F136))),"• الجوال ليس بصيغة 05XXXXXXXX ","")&amp;IF(AND(L136&lt;&gt;"",OR(LEN(L136)&lt;2,LEN(L136)&gt;6,ISERROR(--L136),ISNUMBER(SEARCH(".",L136)))),"• التحويلة يجب أن تكون 2-6 أرقام ","")&amp;IF(AND(L136&lt;&gt;"",COUNTIF($L$6:$L$205,L136)&gt;1),"• التحويلة مكررة ","")&amp;IF(AND(M136="نعم",L136=""),"• يجري مكالمات بدون تحويلة ","")&amp;IF(AND(K136&lt;&gt;"",COUNTIF($D$6:$D$205,K136)=0),"• المشرف غير موجود في الجدول ","")&amp;IF(AND(J136="موظف تحصيل",K136=""),"• موظف التحصيل يحتاج مشرفاً ","")&amp;IF(AND(O136&lt;&gt;"",P136=""),"• نوع الهدف بدون قيمة ",""))="","✔ مكتمل",IF(((B136="")+(C136="")+(D136="")+(E136="")+(F136="")+(H136="")+(I136="")+(J136="")+(M136="")+(Q136=""))&gt;0,"• حقول إلزامية ناقصة ","")&amp;IF(AND(D136&lt;&gt;"",COUNTIF($D$6:$D$205,D136)&gt;1),"• اسم المستخدم مكرر ","")&amp;IF(AND(D136&lt;&gt;"",ISNUMBER(SEARCH(" ",D136))),"• اسم المستخدم فيه مسافة ","")&amp;IF(AND(E136&lt;&gt;"",OR(ISERROR(SEARCH("@",E136)),ISERROR(SEARCH(".",E136)))),"• البريد غير صحيح ","")&amp;IF(AND(F136&lt;&gt;"",OR(LEN(F136)&lt;&gt;10,LEFT(F136,2)&lt;&gt;"05",ISERROR(--F136))),"• الجوال ليس بصيغة 05XXXXXXXX ","")&amp;IF(AND(L136&lt;&gt;"",OR(LEN(L136)&lt;2,LEN(L136)&gt;6,ISERROR(--L136),ISNUMBER(SEARCH(".",L136)))),"• التحويلة يجب أن تكون 2-6 أرقام ","")&amp;IF(AND(L136&lt;&gt;"",COUNTIF($L$6:$L$205,L136)&gt;1),"• التحويلة مكررة ","")&amp;IF(AND(M136="نعم",L136=""),"• يجري مكالمات بدون تحويلة ","")&amp;IF(AND(K136&lt;&gt;"",COUNTIF($D$6:$D$205,K136)=0),"• المشرف غير موجود في الجدول ","")&amp;IF(AND(J136="موظف تحصيل",K136=""),"• موظف التحصيل يحتاج مشرفاً ","")&amp;IF(AND(O136&lt;&gt;"",P136=""),"• نوع الهدف بدون قيمة ","")))</f>
        <v/>
      </c>
    </row>
    <row r="137">
      <c r="A137" s="17">
        <f>IF(COUNTA(B137:R137)=0,"",ROW()-5)</f>
        <v/>
      </c>
      <c r="B137" s="18" t="n"/>
      <c r="C137" s="18" t="n"/>
      <c r="D137" s="18" t="n"/>
      <c r="E137" s="18" t="n"/>
      <c r="F137" s="18" t="n"/>
      <c r="G137" s="18" t="n"/>
      <c r="H137" s="10" t="n"/>
      <c r="I137" s="10" t="n"/>
      <c r="J137" s="10" t="n"/>
      <c r="K137" s="10" t="n"/>
      <c r="L137" s="18" t="n"/>
      <c r="M137" s="10" t="n"/>
      <c r="N137" s="18" t="n"/>
      <c r="O137" s="10" t="n"/>
      <c r="P137" s="19" t="n"/>
      <c r="Q137" s="10" t="n"/>
      <c r="R137" s="18" t="n"/>
      <c r="S137" s="20">
        <f>IF(COUNTA(B137:R137)=0,"",IF((IF(((B137="")+(C137="")+(D137="")+(E137="")+(F137="")+(H137="")+(I137="")+(J137="")+(M137="")+(Q137=""))&gt;0,"• حقول إلزامية ناقصة ","")&amp;IF(AND(D137&lt;&gt;"",COUNTIF($D$6:$D$205,D137)&gt;1),"• اسم المستخدم مكرر ","")&amp;IF(AND(D137&lt;&gt;"",ISNUMBER(SEARCH(" ",D137))),"• اسم المستخدم فيه مسافة ","")&amp;IF(AND(E137&lt;&gt;"",OR(ISERROR(SEARCH("@",E137)),ISERROR(SEARCH(".",E137)))),"• البريد غير صحيح ","")&amp;IF(AND(F137&lt;&gt;"",OR(LEN(F137)&lt;&gt;10,LEFT(F137,2)&lt;&gt;"05",ISERROR(--F137))),"• الجوال ليس بصيغة 05XXXXXXXX ","")&amp;IF(AND(L137&lt;&gt;"",OR(LEN(L137)&lt;2,LEN(L137)&gt;6,ISERROR(--L137),ISNUMBER(SEARCH(".",L137)))),"• التحويلة يجب أن تكون 2-6 أرقام ","")&amp;IF(AND(L137&lt;&gt;"",COUNTIF($L$6:$L$205,L137)&gt;1),"• التحويلة مكررة ","")&amp;IF(AND(M137="نعم",L137=""),"• يجري مكالمات بدون تحويلة ","")&amp;IF(AND(K137&lt;&gt;"",COUNTIF($D$6:$D$205,K137)=0),"• المشرف غير موجود في الجدول ","")&amp;IF(AND(J137="موظف تحصيل",K137=""),"• موظف التحصيل يحتاج مشرفاً ","")&amp;IF(AND(O137&lt;&gt;"",P137=""),"• نوع الهدف بدون قيمة ",""))="","✔ مكتمل",IF(((B137="")+(C137="")+(D137="")+(E137="")+(F137="")+(H137="")+(I137="")+(J137="")+(M137="")+(Q137=""))&gt;0,"• حقول إلزامية ناقصة ","")&amp;IF(AND(D137&lt;&gt;"",COUNTIF($D$6:$D$205,D137)&gt;1),"• اسم المستخدم مكرر ","")&amp;IF(AND(D137&lt;&gt;"",ISNUMBER(SEARCH(" ",D137))),"• اسم المستخدم فيه مسافة ","")&amp;IF(AND(E137&lt;&gt;"",OR(ISERROR(SEARCH("@",E137)),ISERROR(SEARCH(".",E137)))),"• البريد غير صحيح ","")&amp;IF(AND(F137&lt;&gt;"",OR(LEN(F137)&lt;&gt;10,LEFT(F137,2)&lt;&gt;"05",ISERROR(--F137))),"• الجوال ليس بصيغة 05XXXXXXXX ","")&amp;IF(AND(L137&lt;&gt;"",OR(LEN(L137)&lt;2,LEN(L137)&gt;6,ISERROR(--L137),ISNUMBER(SEARCH(".",L137)))),"• التحويلة يجب أن تكون 2-6 أرقام ","")&amp;IF(AND(L137&lt;&gt;"",COUNTIF($L$6:$L$205,L137)&gt;1),"• التحويلة مكررة ","")&amp;IF(AND(M137="نعم",L137=""),"• يجري مكالمات بدون تحويلة ","")&amp;IF(AND(K137&lt;&gt;"",COUNTIF($D$6:$D$205,K137)=0),"• المشرف غير موجود في الجدول ","")&amp;IF(AND(J137="موظف تحصيل",K137=""),"• موظف التحصيل يحتاج مشرفاً ","")&amp;IF(AND(O137&lt;&gt;"",P137=""),"• نوع الهدف بدون قيمة ","")))</f>
        <v/>
      </c>
    </row>
    <row r="138">
      <c r="A138" s="17">
        <f>IF(COUNTA(B138:R138)=0,"",ROW()-5)</f>
        <v/>
      </c>
      <c r="B138" s="18" t="n"/>
      <c r="C138" s="18" t="n"/>
      <c r="D138" s="18" t="n"/>
      <c r="E138" s="18" t="n"/>
      <c r="F138" s="18" t="n"/>
      <c r="G138" s="18" t="n"/>
      <c r="H138" s="10" t="n"/>
      <c r="I138" s="10" t="n"/>
      <c r="J138" s="10" t="n"/>
      <c r="K138" s="10" t="n"/>
      <c r="L138" s="18" t="n"/>
      <c r="M138" s="10" t="n"/>
      <c r="N138" s="18" t="n"/>
      <c r="O138" s="10" t="n"/>
      <c r="P138" s="19" t="n"/>
      <c r="Q138" s="10" t="n"/>
      <c r="R138" s="18" t="n"/>
      <c r="S138" s="20">
        <f>IF(COUNTA(B138:R138)=0,"",IF((IF(((B138="")+(C138="")+(D138="")+(E138="")+(F138="")+(H138="")+(I138="")+(J138="")+(M138="")+(Q138=""))&gt;0,"• حقول إلزامية ناقصة ","")&amp;IF(AND(D138&lt;&gt;"",COUNTIF($D$6:$D$205,D138)&gt;1),"• اسم المستخدم مكرر ","")&amp;IF(AND(D138&lt;&gt;"",ISNUMBER(SEARCH(" ",D138))),"• اسم المستخدم فيه مسافة ","")&amp;IF(AND(E138&lt;&gt;"",OR(ISERROR(SEARCH("@",E138)),ISERROR(SEARCH(".",E138)))),"• البريد غير صحيح ","")&amp;IF(AND(F138&lt;&gt;"",OR(LEN(F138)&lt;&gt;10,LEFT(F138,2)&lt;&gt;"05",ISERROR(--F138))),"• الجوال ليس بصيغة 05XXXXXXXX ","")&amp;IF(AND(L138&lt;&gt;"",OR(LEN(L138)&lt;2,LEN(L138)&gt;6,ISERROR(--L138),ISNUMBER(SEARCH(".",L138)))),"• التحويلة يجب أن تكون 2-6 أرقام ","")&amp;IF(AND(L138&lt;&gt;"",COUNTIF($L$6:$L$205,L138)&gt;1),"• التحويلة مكررة ","")&amp;IF(AND(M138="نعم",L138=""),"• يجري مكالمات بدون تحويلة ","")&amp;IF(AND(K138&lt;&gt;"",COUNTIF($D$6:$D$205,K138)=0),"• المشرف غير موجود في الجدول ","")&amp;IF(AND(J138="موظف تحصيل",K138=""),"• موظف التحصيل يحتاج مشرفاً ","")&amp;IF(AND(O138&lt;&gt;"",P138=""),"• نوع الهدف بدون قيمة ",""))="","✔ مكتمل",IF(((B138="")+(C138="")+(D138="")+(E138="")+(F138="")+(H138="")+(I138="")+(J138="")+(M138="")+(Q138=""))&gt;0,"• حقول إلزامية ناقصة ","")&amp;IF(AND(D138&lt;&gt;"",COUNTIF($D$6:$D$205,D138)&gt;1),"• اسم المستخدم مكرر ","")&amp;IF(AND(D138&lt;&gt;"",ISNUMBER(SEARCH(" ",D138))),"• اسم المستخدم فيه مسافة ","")&amp;IF(AND(E138&lt;&gt;"",OR(ISERROR(SEARCH("@",E138)),ISERROR(SEARCH(".",E138)))),"• البريد غير صحيح ","")&amp;IF(AND(F138&lt;&gt;"",OR(LEN(F138)&lt;&gt;10,LEFT(F138,2)&lt;&gt;"05",ISERROR(--F138))),"• الجوال ليس بصيغة 05XXXXXXXX ","")&amp;IF(AND(L138&lt;&gt;"",OR(LEN(L138)&lt;2,LEN(L138)&gt;6,ISERROR(--L138),ISNUMBER(SEARCH(".",L138)))),"• التحويلة يجب أن تكون 2-6 أرقام ","")&amp;IF(AND(L138&lt;&gt;"",COUNTIF($L$6:$L$205,L138)&gt;1),"• التحويلة مكررة ","")&amp;IF(AND(M138="نعم",L138=""),"• يجري مكالمات بدون تحويلة ","")&amp;IF(AND(K138&lt;&gt;"",COUNTIF($D$6:$D$205,K138)=0),"• المشرف غير موجود في الجدول ","")&amp;IF(AND(J138="موظف تحصيل",K138=""),"• موظف التحصيل يحتاج مشرفاً ","")&amp;IF(AND(O138&lt;&gt;"",P138=""),"• نوع الهدف بدون قيمة ","")))</f>
        <v/>
      </c>
    </row>
    <row r="139">
      <c r="A139" s="17">
        <f>IF(COUNTA(B139:R139)=0,"",ROW()-5)</f>
        <v/>
      </c>
      <c r="B139" s="18" t="n"/>
      <c r="C139" s="18" t="n"/>
      <c r="D139" s="18" t="n"/>
      <c r="E139" s="18" t="n"/>
      <c r="F139" s="18" t="n"/>
      <c r="G139" s="18" t="n"/>
      <c r="H139" s="10" t="n"/>
      <c r="I139" s="10" t="n"/>
      <c r="J139" s="10" t="n"/>
      <c r="K139" s="10" t="n"/>
      <c r="L139" s="18" t="n"/>
      <c r="M139" s="10" t="n"/>
      <c r="N139" s="18" t="n"/>
      <c r="O139" s="10" t="n"/>
      <c r="P139" s="19" t="n"/>
      <c r="Q139" s="10" t="n"/>
      <c r="R139" s="18" t="n"/>
      <c r="S139" s="20">
        <f>IF(COUNTA(B139:R139)=0,"",IF((IF(((B139="")+(C139="")+(D139="")+(E139="")+(F139="")+(H139="")+(I139="")+(J139="")+(M139="")+(Q139=""))&gt;0,"• حقول إلزامية ناقصة ","")&amp;IF(AND(D139&lt;&gt;"",COUNTIF($D$6:$D$205,D139)&gt;1),"• اسم المستخدم مكرر ","")&amp;IF(AND(D139&lt;&gt;"",ISNUMBER(SEARCH(" ",D139))),"• اسم المستخدم فيه مسافة ","")&amp;IF(AND(E139&lt;&gt;"",OR(ISERROR(SEARCH("@",E139)),ISERROR(SEARCH(".",E139)))),"• البريد غير صحيح ","")&amp;IF(AND(F139&lt;&gt;"",OR(LEN(F139)&lt;&gt;10,LEFT(F139,2)&lt;&gt;"05",ISERROR(--F139))),"• الجوال ليس بصيغة 05XXXXXXXX ","")&amp;IF(AND(L139&lt;&gt;"",OR(LEN(L139)&lt;2,LEN(L139)&gt;6,ISERROR(--L139),ISNUMBER(SEARCH(".",L139)))),"• التحويلة يجب أن تكون 2-6 أرقام ","")&amp;IF(AND(L139&lt;&gt;"",COUNTIF($L$6:$L$205,L139)&gt;1),"• التحويلة مكررة ","")&amp;IF(AND(M139="نعم",L139=""),"• يجري مكالمات بدون تحويلة ","")&amp;IF(AND(K139&lt;&gt;"",COUNTIF($D$6:$D$205,K139)=0),"• المشرف غير موجود في الجدول ","")&amp;IF(AND(J139="موظف تحصيل",K139=""),"• موظف التحصيل يحتاج مشرفاً ","")&amp;IF(AND(O139&lt;&gt;"",P139=""),"• نوع الهدف بدون قيمة ",""))="","✔ مكتمل",IF(((B139="")+(C139="")+(D139="")+(E139="")+(F139="")+(H139="")+(I139="")+(J139="")+(M139="")+(Q139=""))&gt;0,"• حقول إلزامية ناقصة ","")&amp;IF(AND(D139&lt;&gt;"",COUNTIF($D$6:$D$205,D139)&gt;1),"• اسم المستخدم مكرر ","")&amp;IF(AND(D139&lt;&gt;"",ISNUMBER(SEARCH(" ",D139))),"• اسم المستخدم فيه مسافة ","")&amp;IF(AND(E139&lt;&gt;"",OR(ISERROR(SEARCH("@",E139)),ISERROR(SEARCH(".",E139)))),"• البريد غير صحيح ","")&amp;IF(AND(F139&lt;&gt;"",OR(LEN(F139)&lt;&gt;10,LEFT(F139,2)&lt;&gt;"05",ISERROR(--F139))),"• الجوال ليس بصيغة 05XXXXXXXX ","")&amp;IF(AND(L139&lt;&gt;"",OR(LEN(L139)&lt;2,LEN(L139)&gt;6,ISERROR(--L139),ISNUMBER(SEARCH(".",L139)))),"• التحويلة يجب أن تكون 2-6 أرقام ","")&amp;IF(AND(L139&lt;&gt;"",COUNTIF($L$6:$L$205,L139)&gt;1),"• التحويلة مكررة ","")&amp;IF(AND(M139="نعم",L139=""),"• يجري مكالمات بدون تحويلة ","")&amp;IF(AND(K139&lt;&gt;"",COUNTIF($D$6:$D$205,K139)=0),"• المشرف غير موجود في الجدول ","")&amp;IF(AND(J139="موظف تحصيل",K139=""),"• موظف التحصيل يحتاج مشرفاً ","")&amp;IF(AND(O139&lt;&gt;"",P139=""),"• نوع الهدف بدون قيمة ","")))</f>
        <v/>
      </c>
    </row>
    <row r="140">
      <c r="A140" s="17">
        <f>IF(COUNTA(B140:R140)=0,"",ROW()-5)</f>
        <v/>
      </c>
      <c r="B140" s="18" t="n"/>
      <c r="C140" s="18" t="n"/>
      <c r="D140" s="18" t="n"/>
      <c r="E140" s="18" t="n"/>
      <c r="F140" s="18" t="n"/>
      <c r="G140" s="18" t="n"/>
      <c r="H140" s="10" t="n"/>
      <c r="I140" s="10" t="n"/>
      <c r="J140" s="10" t="n"/>
      <c r="K140" s="10" t="n"/>
      <c r="L140" s="18" t="n"/>
      <c r="M140" s="10" t="n"/>
      <c r="N140" s="18" t="n"/>
      <c r="O140" s="10" t="n"/>
      <c r="P140" s="19" t="n"/>
      <c r="Q140" s="10" t="n"/>
      <c r="R140" s="18" t="n"/>
      <c r="S140" s="20">
        <f>IF(COUNTA(B140:R140)=0,"",IF((IF(((B140="")+(C140="")+(D140="")+(E140="")+(F140="")+(H140="")+(I140="")+(J140="")+(M140="")+(Q140=""))&gt;0,"• حقول إلزامية ناقصة ","")&amp;IF(AND(D140&lt;&gt;"",COUNTIF($D$6:$D$205,D140)&gt;1),"• اسم المستخدم مكرر ","")&amp;IF(AND(D140&lt;&gt;"",ISNUMBER(SEARCH(" ",D140))),"• اسم المستخدم فيه مسافة ","")&amp;IF(AND(E140&lt;&gt;"",OR(ISERROR(SEARCH("@",E140)),ISERROR(SEARCH(".",E140)))),"• البريد غير صحيح ","")&amp;IF(AND(F140&lt;&gt;"",OR(LEN(F140)&lt;&gt;10,LEFT(F140,2)&lt;&gt;"05",ISERROR(--F140))),"• الجوال ليس بصيغة 05XXXXXXXX ","")&amp;IF(AND(L140&lt;&gt;"",OR(LEN(L140)&lt;2,LEN(L140)&gt;6,ISERROR(--L140),ISNUMBER(SEARCH(".",L140)))),"• التحويلة يجب أن تكون 2-6 أرقام ","")&amp;IF(AND(L140&lt;&gt;"",COUNTIF($L$6:$L$205,L140)&gt;1),"• التحويلة مكررة ","")&amp;IF(AND(M140="نعم",L140=""),"• يجري مكالمات بدون تحويلة ","")&amp;IF(AND(K140&lt;&gt;"",COUNTIF($D$6:$D$205,K140)=0),"• المشرف غير موجود في الجدول ","")&amp;IF(AND(J140="موظف تحصيل",K140=""),"• موظف التحصيل يحتاج مشرفاً ","")&amp;IF(AND(O140&lt;&gt;"",P140=""),"• نوع الهدف بدون قيمة ",""))="","✔ مكتمل",IF(((B140="")+(C140="")+(D140="")+(E140="")+(F140="")+(H140="")+(I140="")+(J140="")+(M140="")+(Q140=""))&gt;0,"• حقول إلزامية ناقصة ","")&amp;IF(AND(D140&lt;&gt;"",COUNTIF($D$6:$D$205,D140)&gt;1),"• اسم المستخدم مكرر ","")&amp;IF(AND(D140&lt;&gt;"",ISNUMBER(SEARCH(" ",D140))),"• اسم المستخدم فيه مسافة ","")&amp;IF(AND(E140&lt;&gt;"",OR(ISERROR(SEARCH("@",E140)),ISERROR(SEARCH(".",E140)))),"• البريد غير صحيح ","")&amp;IF(AND(F140&lt;&gt;"",OR(LEN(F140)&lt;&gt;10,LEFT(F140,2)&lt;&gt;"05",ISERROR(--F140))),"• الجوال ليس بصيغة 05XXXXXXXX ","")&amp;IF(AND(L140&lt;&gt;"",OR(LEN(L140)&lt;2,LEN(L140)&gt;6,ISERROR(--L140),ISNUMBER(SEARCH(".",L140)))),"• التحويلة يجب أن تكون 2-6 أرقام ","")&amp;IF(AND(L140&lt;&gt;"",COUNTIF($L$6:$L$205,L140)&gt;1),"• التحويلة مكررة ","")&amp;IF(AND(M140="نعم",L140=""),"• يجري مكالمات بدون تحويلة ","")&amp;IF(AND(K140&lt;&gt;"",COUNTIF($D$6:$D$205,K140)=0),"• المشرف غير موجود في الجدول ","")&amp;IF(AND(J140="موظف تحصيل",K140=""),"• موظف التحصيل يحتاج مشرفاً ","")&amp;IF(AND(O140&lt;&gt;"",P140=""),"• نوع الهدف بدون قيمة ","")))</f>
        <v/>
      </c>
    </row>
    <row r="141">
      <c r="A141" s="17">
        <f>IF(COUNTA(B141:R141)=0,"",ROW()-5)</f>
        <v/>
      </c>
      <c r="B141" s="18" t="n"/>
      <c r="C141" s="18" t="n"/>
      <c r="D141" s="18" t="n"/>
      <c r="E141" s="18" t="n"/>
      <c r="F141" s="18" t="n"/>
      <c r="G141" s="18" t="n"/>
      <c r="H141" s="10" t="n"/>
      <c r="I141" s="10" t="n"/>
      <c r="J141" s="10" t="n"/>
      <c r="K141" s="10" t="n"/>
      <c r="L141" s="18" t="n"/>
      <c r="M141" s="10" t="n"/>
      <c r="N141" s="18" t="n"/>
      <c r="O141" s="10" t="n"/>
      <c r="P141" s="19" t="n"/>
      <c r="Q141" s="10" t="n"/>
      <c r="R141" s="18" t="n"/>
      <c r="S141" s="20">
        <f>IF(COUNTA(B141:R141)=0,"",IF((IF(((B141="")+(C141="")+(D141="")+(E141="")+(F141="")+(H141="")+(I141="")+(J141="")+(M141="")+(Q141=""))&gt;0,"• حقول إلزامية ناقصة ","")&amp;IF(AND(D141&lt;&gt;"",COUNTIF($D$6:$D$205,D141)&gt;1),"• اسم المستخدم مكرر ","")&amp;IF(AND(D141&lt;&gt;"",ISNUMBER(SEARCH(" ",D141))),"• اسم المستخدم فيه مسافة ","")&amp;IF(AND(E141&lt;&gt;"",OR(ISERROR(SEARCH("@",E141)),ISERROR(SEARCH(".",E141)))),"• البريد غير صحيح ","")&amp;IF(AND(F141&lt;&gt;"",OR(LEN(F141)&lt;&gt;10,LEFT(F141,2)&lt;&gt;"05",ISERROR(--F141))),"• الجوال ليس بصيغة 05XXXXXXXX ","")&amp;IF(AND(L141&lt;&gt;"",OR(LEN(L141)&lt;2,LEN(L141)&gt;6,ISERROR(--L141),ISNUMBER(SEARCH(".",L141)))),"• التحويلة يجب أن تكون 2-6 أرقام ","")&amp;IF(AND(L141&lt;&gt;"",COUNTIF($L$6:$L$205,L141)&gt;1),"• التحويلة مكررة ","")&amp;IF(AND(M141="نعم",L141=""),"• يجري مكالمات بدون تحويلة ","")&amp;IF(AND(K141&lt;&gt;"",COUNTIF($D$6:$D$205,K141)=0),"• المشرف غير موجود في الجدول ","")&amp;IF(AND(J141="موظف تحصيل",K141=""),"• موظف التحصيل يحتاج مشرفاً ","")&amp;IF(AND(O141&lt;&gt;"",P141=""),"• نوع الهدف بدون قيمة ",""))="","✔ مكتمل",IF(((B141="")+(C141="")+(D141="")+(E141="")+(F141="")+(H141="")+(I141="")+(J141="")+(M141="")+(Q141=""))&gt;0,"• حقول إلزامية ناقصة ","")&amp;IF(AND(D141&lt;&gt;"",COUNTIF($D$6:$D$205,D141)&gt;1),"• اسم المستخدم مكرر ","")&amp;IF(AND(D141&lt;&gt;"",ISNUMBER(SEARCH(" ",D141))),"• اسم المستخدم فيه مسافة ","")&amp;IF(AND(E141&lt;&gt;"",OR(ISERROR(SEARCH("@",E141)),ISERROR(SEARCH(".",E141)))),"• البريد غير صحيح ","")&amp;IF(AND(F141&lt;&gt;"",OR(LEN(F141)&lt;&gt;10,LEFT(F141,2)&lt;&gt;"05",ISERROR(--F141))),"• الجوال ليس بصيغة 05XXXXXXXX ","")&amp;IF(AND(L141&lt;&gt;"",OR(LEN(L141)&lt;2,LEN(L141)&gt;6,ISERROR(--L141),ISNUMBER(SEARCH(".",L141)))),"• التحويلة يجب أن تكون 2-6 أرقام ","")&amp;IF(AND(L141&lt;&gt;"",COUNTIF($L$6:$L$205,L141)&gt;1),"• التحويلة مكررة ","")&amp;IF(AND(M141="نعم",L141=""),"• يجري مكالمات بدون تحويلة ","")&amp;IF(AND(K141&lt;&gt;"",COUNTIF($D$6:$D$205,K141)=0),"• المشرف غير موجود في الجدول ","")&amp;IF(AND(J141="موظف تحصيل",K141=""),"• موظف التحصيل يحتاج مشرفاً ","")&amp;IF(AND(O141&lt;&gt;"",P141=""),"• نوع الهدف بدون قيمة ","")))</f>
        <v/>
      </c>
    </row>
    <row r="142">
      <c r="A142" s="17">
        <f>IF(COUNTA(B142:R142)=0,"",ROW()-5)</f>
        <v/>
      </c>
      <c r="B142" s="18" t="n"/>
      <c r="C142" s="18" t="n"/>
      <c r="D142" s="18" t="n"/>
      <c r="E142" s="18" t="n"/>
      <c r="F142" s="18" t="n"/>
      <c r="G142" s="18" t="n"/>
      <c r="H142" s="10" t="n"/>
      <c r="I142" s="10" t="n"/>
      <c r="J142" s="10" t="n"/>
      <c r="K142" s="10" t="n"/>
      <c r="L142" s="18" t="n"/>
      <c r="M142" s="10" t="n"/>
      <c r="N142" s="18" t="n"/>
      <c r="O142" s="10" t="n"/>
      <c r="P142" s="19" t="n"/>
      <c r="Q142" s="10" t="n"/>
      <c r="R142" s="18" t="n"/>
      <c r="S142" s="20">
        <f>IF(COUNTA(B142:R142)=0,"",IF((IF(((B142="")+(C142="")+(D142="")+(E142="")+(F142="")+(H142="")+(I142="")+(J142="")+(M142="")+(Q142=""))&gt;0,"• حقول إلزامية ناقصة ","")&amp;IF(AND(D142&lt;&gt;"",COUNTIF($D$6:$D$205,D142)&gt;1),"• اسم المستخدم مكرر ","")&amp;IF(AND(D142&lt;&gt;"",ISNUMBER(SEARCH(" ",D142))),"• اسم المستخدم فيه مسافة ","")&amp;IF(AND(E142&lt;&gt;"",OR(ISERROR(SEARCH("@",E142)),ISERROR(SEARCH(".",E142)))),"• البريد غير صحيح ","")&amp;IF(AND(F142&lt;&gt;"",OR(LEN(F142)&lt;&gt;10,LEFT(F142,2)&lt;&gt;"05",ISERROR(--F142))),"• الجوال ليس بصيغة 05XXXXXXXX ","")&amp;IF(AND(L142&lt;&gt;"",OR(LEN(L142)&lt;2,LEN(L142)&gt;6,ISERROR(--L142),ISNUMBER(SEARCH(".",L142)))),"• التحويلة يجب أن تكون 2-6 أرقام ","")&amp;IF(AND(L142&lt;&gt;"",COUNTIF($L$6:$L$205,L142)&gt;1),"• التحويلة مكررة ","")&amp;IF(AND(M142="نعم",L142=""),"• يجري مكالمات بدون تحويلة ","")&amp;IF(AND(K142&lt;&gt;"",COUNTIF($D$6:$D$205,K142)=0),"• المشرف غير موجود في الجدول ","")&amp;IF(AND(J142="موظف تحصيل",K142=""),"• موظف التحصيل يحتاج مشرفاً ","")&amp;IF(AND(O142&lt;&gt;"",P142=""),"• نوع الهدف بدون قيمة ",""))="","✔ مكتمل",IF(((B142="")+(C142="")+(D142="")+(E142="")+(F142="")+(H142="")+(I142="")+(J142="")+(M142="")+(Q142=""))&gt;0,"• حقول إلزامية ناقصة ","")&amp;IF(AND(D142&lt;&gt;"",COUNTIF($D$6:$D$205,D142)&gt;1),"• اسم المستخدم مكرر ","")&amp;IF(AND(D142&lt;&gt;"",ISNUMBER(SEARCH(" ",D142))),"• اسم المستخدم فيه مسافة ","")&amp;IF(AND(E142&lt;&gt;"",OR(ISERROR(SEARCH("@",E142)),ISERROR(SEARCH(".",E142)))),"• البريد غير صحيح ","")&amp;IF(AND(F142&lt;&gt;"",OR(LEN(F142)&lt;&gt;10,LEFT(F142,2)&lt;&gt;"05",ISERROR(--F142))),"• الجوال ليس بصيغة 05XXXXXXXX ","")&amp;IF(AND(L142&lt;&gt;"",OR(LEN(L142)&lt;2,LEN(L142)&gt;6,ISERROR(--L142),ISNUMBER(SEARCH(".",L142)))),"• التحويلة يجب أن تكون 2-6 أرقام ","")&amp;IF(AND(L142&lt;&gt;"",COUNTIF($L$6:$L$205,L142)&gt;1),"• التحويلة مكررة ","")&amp;IF(AND(M142="نعم",L142=""),"• يجري مكالمات بدون تحويلة ","")&amp;IF(AND(K142&lt;&gt;"",COUNTIF($D$6:$D$205,K142)=0),"• المشرف غير موجود في الجدول ","")&amp;IF(AND(J142="موظف تحصيل",K142=""),"• موظف التحصيل يحتاج مشرفاً ","")&amp;IF(AND(O142&lt;&gt;"",P142=""),"• نوع الهدف بدون قيمة ","")))</f>
        <v/>
      </c>
    </row>
    <row r="143">
      <c r="A143" s="17">
        <f>IF(COUNTA(B143:R143)=0,"",ROW()-5)</f>
        <v/>
      </c>
      <c r="B143" s="18" t="n"/>
      <c r="C143" s="18" t="n"/>
      <c r="D143" s="18" t="n"/>
      <c r="E143" s="18" t="n"/>
      <c r="F143" s="18" t="n"/>
      <c r="G143" s="18" t="n"/>
      <c r="H143" s="10" t="n"/>
      <c r="I143" s="10" t="n"/>
      <c r="J143" s="10" t="n"/>
      <c r="K143" s="10" t="n"/>
      <c r="L143" s="18" t="n"/>
      <c r="M143" s="10" t="n"/>
      <c r="N143" s="18" t="n"/>
      <c r="O143" s="10" t="n"/>
      <c r="P143" s="19" t="n"/>
      <c r="Q143" s="10" t="n"/>
      <c r="R143" s="18" t="n"/>
      <c r="S143" s="20">
        <f>IF(COUNTA(B143:R143)=0,"",IF((IF(((B143="")+(C143="")+(D143="")+(E143="")+(F143="")+(H143="")+(I143="")+(J143="")+(M143="")+(Q143=""))&gt;0,"• حقول إلزامية ناقصة ","")&amp;IF(AND(D143&lt;&gt;"",COUNTIF($D$6:$D$205,D143)&gt;1),"• اسم المستخدم مكرر ","")&amp;IF(AND(D143&lt;&gt;"",ISNUMBER(SEARCH(" ",D143))),"• اسم المستخدم فيه مسافة ","")&amp;IF(AND(E143&lt;&gt;"",OR(ISERROR(SEARCH("@",E143)),ISERROR(SEARCH(".",E143)))),"• البريد غير صحيح ","")&amp;IF(AND(F143&lt;&gt;"",OR(LEN(F143)&lt;&gt;10,LEFT(F143,2)&lt;&gt;"05",ISERROR(--F143))),"• الجوال ليس بصيغة 05XXXXXXXX ","")&amp;IF(AND(L143&lt;&gt;"",OR(LEN(L143)&lt;2,LEN(L143)&gt;6,ISERROR(--L143),ISNUMBER(SEARCH(".",L143)))),"• التحويلة يجب أن تكون 2-6 أرقام ","")&amp;IF(AND(L143&lt;&gt;"",COUNTIF($L$6:$L$205,L143)&gt;1),"• التحويلة مكررة ","")&amp;IF(AND(M143="نعم",L143=""),"• يجري مكالمات بدون تحويلة ","")&amp;IF(AND(K143&lt;&gt;"",COUNTIF($D$6:$D$205,K143)=0),"• المشرف غير موجود في الجدول ","")&amp;IF(AND(J143="موظف تحصيل",K143=""),"• موظف التحصيل يحتاج مشرفاً ","")&amp;IF(AND(O143&lt;&gt;"",P143=""),"• نوع الهدف بدون قيمة ",""))="","✔ مكتمل",IF(((B143="")+(C143="")+(D143="")+(E143="")+(F143="")+(H143="")+(I143="")+(J143="")+(M143="")+(Q143=""))&gt;0,"• حقول إلزامية ناقصة ","")&amp;IF(AND(D143&lt;&gt;"",COUNTIF($D$6:$D$205,D143)&gt;1),"• اسم المستخدم مكرر ","")&amp;IF(AND(D143&lt;&gt;"",ISNUMBER(SEARCH(" ",D143))),"• اسم المستخدم فيه مسافة ","")&amp;IF(AND(E143&lt;&gt;"",OR(ISERROR(SEARCH("@",E143)),ISERROR(SEARCH(".",E143)))),"• البريد غير صحيح ","")&amp;IF(AND(F143&lt;&gt;"",OR(LEN(F143)&lt;&gt;10,LEFT(F143,2)&lt;&gt;"05",ISERROR(--F143))),"• الجوال ليس بصيغة 05XXXXXXXX ","")&amp;IF(AND(L143&lt;&gt;"",OR(LEN(L143)&lt;2,LEN(L143)&gt;6,ISERROR(--L143),ISNUMBER(SEARCH(".",L143)))),"• التحويلة يجب أن تكون 2-6 أرقام ","")&amp;IF(AND(L143&lt;&gt;"",COUNTIF($L$6:$L$205,L143)&gt;1),"• التحويلة مكررة ","")&amp;IF(AND(M143="نعم",L143=""),"• يجري مكالمات بدون تحويلة ","")&amp;IF(AND(K143&lt;&gt;"",COUNTIF($D$6:$D$205,K143)=0),"• المشرف غير موجود في الجدول ","")&amp;IF(AND(J143="موظف تحصيل",K143=""),"• موظف التحصيل يحتاج مشرفاً ","")&amp;IF(AND(O143&lt;&gt;"",P143=""),"• نوع الهدف بدون قيمة ","")))</f>
        <v/>
      </c>
    </row>
    <row r="144">
      <c r="A144" s="17">
        <f>IF(COUNTA(B144:R144)=0,"",ROW()-5)</f>
        <v/>
      </c>
      <c r="B144" s="18" t="n"/>
      <c r="C144" s="18" t="n"/>
      <c r="D144" s="18" t="n"/>
      <c r="E144" s="18" t="n"/>
      <c r="F144" s="18" t="n"/>
      <c r="G144" s="18" t="n"/>
      <c r="H144" s="10" t="n"/>
      <c r="I144" s="10" t="n"/>
      <c r="J144" s="10" t="n"/>
      <c r="K144" s="10" t="n"/>
      <c r="L144" s="18" t="n"/>
      <c r="M144" s="10" t="n"/>
      <c r="N144" s="18" t="n"/>
      <c r="O144" s="10" t="n"/>
      <c r="P144" s="19" t="n"/>
      <c r="Q144" s="10" t="n"/>
      <c r="R144" s="18" t="n"/>
      <c r="S144" s="20">
        <f>IF(COUNTA(B144:R144)=0,"",IF((IF(((B144="")+(C144="")+(D144="")+(E144="")+(F144="")+(H144="")+(I144="")+(J144="")+(M144="")+(Q144=""))&gt;0,"• حقول إلزامية ناقصة ","")&amp;IF(AND(D144&lt;&gt;"",COUNTIF($D$6:$D$205,D144)&gt;1),"• اسم المستخدم مكرر ","")&amp;IF(AND(D144&lt;&gt;"",ISNUMBER(SEARCH(" ",D144))),"• اسم المستخدم فيه مسافة ","")&amp;IF(AND(E144&lt;&gt;"",OR(ISERROR(SEARCH("@",E144)),ISERROR(SEARCH(".",E144)))),"• البريد غير صحيح ","")&amp;IF(AND(F144&lt;&gt;"",OR(LEN(F144)&lt;&gt;10,LEFT(F144,2)&lt;&gt;"05",ISERROR(--F144))),"• الجوال ليس بصيغة 05XXXXXXXX ","")&amp;IF(AND(L144&lt;&gt;"",OR(LEN(L144)&lt;2,LEN(L144)&gt;6,ISERROR(--L144),ISNUMBER(SEARCH(".",L144)))),"• التحويلة يجب أن تكون 2-6 أرقام ","")&amp;IF(AND(L144&lt;&gt;"",COUNTIF($L$6:$L$205,L144)&gt;1),"• التحويلة مكررة ","")&amp;IF(AND(M144="نعم",L144=""),"• يجري مكالمات بدون تحويلة ","")&amp;IF(AND(K144&lt;&gt;"",COUNTIF($D$6:$D$205,K144)=0),"• المشرف غير موجود في الجدول ","")&amp;IF(AND(J144="موظف تحصيل",K144=""),"• موظف التحصيل يحتاج مشرفاً ","")&amp;IF(AND(O144&lt;&gt;"",P144=""),"• نوع الهدف بدون قيمة ",""))="","✔ مكتمل",IF(((B144="")+(C144="")+(D144="")+(E144="")+(F144="")+(H144="")+(I144="")+(J144="")+(M144="")+(Q144=""))&gt;0,"• حقول إلزامية ناقصة ","")&amp;IF(AND(D144&lt;&gt;"",COUNTIF($D$6:$D$205,D144)&gt;1),"• اسم المستخدم مكرر ","")&amp;IF(AND(D144&lt;&gt;"",ISNUMBER(SEARCH(" ",D144))),"• اسم المستخدم فيه مسافة ","")&amp;IF(AND(E144&lt;&gt;"",OR(ISERROR(SEARCH("@",E144)),ISERROR(SEARCH(".",E144)))),"• البريد غير صحيح ","")&amp;IF(AND(F144&lt;&gt;"",OR(LEN(F144)&lt;&gt;10,LEFT(F144,2)&lt;&gt;"05",ISERROR(--F144))),"• الجوال ليس بصيغة 05XXXXXXXX ","")&amp;IF(AND(L144&lt;&gt;"",OR(LEN(L144)&lt;2,LEN(L144)&gt;6,ISERROR(--L144),ISNUMBER(SEARCH(".",L144)))),"• التحويلة يجب أن تكون 2-6 أرقام ","")&amp;IF(AND(L144&lt;&gt;"",COUNTIF($L$6:$L$205,L144)&gt;1),"• التحويلة مكررة ","")&amp;IF(AND(M144="نعم",L144=""),"• يجري مكالمات بدون تحويلة ","")&amp;IF(AND(K144&lt;&gt;"",COUNTIF($D$6:$D$205,K144)=0),"• المشرف غير موجود في الجدول ","")&amp;IF(AND(J144="موظف تحصيل",K144=""),"• موظف التحصيل يحتاج مشرفاً ","")&amp;IF(AND(O144&lt;&gt;"",P144=""),"• نوع الهدف بدون قيمة ","")))</f>
        <v/>
      </c>
    </row>
    <row r="145">
      <c r="A145" s="17">
        <f>IF(COUNTA(B145:R145)=0,"",ROW()-5)</f>
        <v/>
      </c>
      <c r="B145" s="18" t="n"/>
      <c r="C145" s="18" t="n"/>
      <c r="D145" s="18" t="n"/>
      <c r="E145" s="18" t="n"/>
      <c r="F145" s="18" t="n"/>
      <c r="G145" s="18" t="n"/>
      <c r="H145" s="10" t="n"/>
      <c r="I145" s="10" t="n"/>
      <c r="J145" s="10" t="n"/>
      <c r="K145" s="10" t="n"/>
      <c r="L145" s="18" t="n"/>
      <c r="M145" s="10" t="n"/>
      <c r="N145" s="18" t="n"/>
      <c r="O145" s="10" t="n"/>
      <c r="P145" s="19" t="n"/>
      <c r="Q145" s="10" t="n"/>
      <c r="R145" s="18" t="n"/>
      <c r="S145" s="20">
        <f>IF(COUNTA(B145:R145)=0,"",IF((IF(((B145="")+(C145="")+(D145="")+(E145="")+(F145="")+(H145="")+(I145="")+(J145="")+(M145="")+(Q145=""))&gt;0,"• حقول إلزامية ناقصة ","")&amp;IF(AND(D145&lt;&gt;"",COUNTIF($D$6:$D$205,D145)&gt;1),"• اسم المستخدم مكرر ","")&amp;IF(AND(D145&lt;&gt;"",ISNUMBER(SEARCH(" ",D145))),"• اسم المستخدم فيه مسافة ","")&amp;IF(AND(E145&lt;&gt;"",OR(ISERROR(SEARCH("@",E145)),ISERROR(SEARCH(".",E145)))),"• البريد غير صحيح ","")&amp;IF(AND(F145&lt;&gt;"",OR(LEN(F145)&lt;&gt;10,LEFT(F145,2)&lt;&gt;"05",ISERROR(--F145))),"• الجوال ليس بصيغة 05XXXXXXXX ","")&amp;IF(AND(L145&lt;&gt;"",OR(LEN(L145)&lt;2,LEN(L145)&gt;6,ISERROR(--L145),ISNUMBER(SEARCH(".",L145)))),"• التحويلة يجب أن تكون 2-6 أرقام ","")&amp;IF(AND(L145&lt;&gt;"",COUNTIF($L$6:$L$205,L145)&gt;1),"• التحويلة مكررة ","")&amp;IF(AND(M145="نعم",L145=""),"• يجري مكالمات بدون تحويلة ","")&amp;IF(AND(K145&lt;&gt;"",COUNTIF($D$6:$D$205,K145)=0),"• المشرف غير موجود في الجدول ","")&amp;IF(AND(J145="موظف تحصيل",K145=""),"• موظف التحصيل يحتاج مشرفاً ","")&amp;IF(AND(O145&lt;&gt;"",P145=""),"• نوع الهدف بدون قيمة ",""))="","✔ مكتمل",IF(((B145="")+(C145="")+(D145="")+(E145="")+(F145="")+(H145="")+(I145="")+(J145="")+(M145="")+(Q145=""))&gt;0,"• حقول إلزامية ناقصة ","")&amp;IF(AND(D145&lt;&gt;"",COUNTIF($D$6:$D$205,D145)&gt;1),"• اسم المستخدم مكرر ","")&amp;IF(AND(D145&lt;&gt;"",ISNUMBER(SEARCH(" ",D145))),"• اسم المستخدم فيه مسافة ","")&amp;IF(AND(E145&lt;&gt;"",OR(ISERROR(SEARCH("@",E145)),ISERROR(SEARCH(".",E145)))),"• البريد غير صحيح ","")&amp;IF(AND(F145&lt;&gt;"",OR(LEN(F145)&lt;&gt;10,LEFT(F145,2)&lt;&gt;"05",ISERROR(--F145))),"• الجوال ليس بصيغة 05XXXXXXXX ","")&amp;IF(AND(L145&lt;&gt;"",OR(LEN(L145)&lt;2,LEN(L145)&gt;6,ISERROR(--L145),ISNUMBER(SEARCH(".",L145)))),"• التحويلة يجب أن تكون 2-6 أرقام ","")&amp;IF(AND(L145&lt;&gt;"",COUNTIF($L$6:$L$205,L145)&gt;1),"• التحويلة مكررة ","")&amp;IF(AND(M145="نعم",L145=""),"• يجري مكالمات بدون تحويلة ","")&amp;IF(AND(K145&lt;&gt;"",COUNTIF($D$6:$D$205,K145)=0),"• المشرف غير موجود في الجدول ","")&amp;IF(AND(J145="موظف تحصيل",K145=""),"• موظف التحصيل يحتاج مشرفاً ","")&amp;IF(AND(O145&lt;&gt;"",P145=""),"• نوع الهدف بدون قيمة ","")))</f>
        <v/>
      </c>
    </row>
    <row r="146">
      <c r="A146" s="17">
        <f>IF(COUNTA(B146:R146)=0,"",ROW()-5)</f>
        <v/>
      </c>
      <c r="B146" s="18" t="n"/>
      <c r="C146" s="18" t="n"/>
      <c r="D146" s="18" t="n"/>
      <c r="E146" s="18" t="n"/>
      <c r="F146" s="18" t="n"/>
      <c r="G146" s="18" t="n"/>
      <c r="H146" s="10" t="n"/>
      <c r="I146" s="10" t="n"/>
      <c r="J146" s="10" t="n"/>
      <c r="K146" s="10" t="n"/>
      <c r="L146" s="18" t="n"/>
      <c r="M146" s="10" t="n"/>
      <c r="N146" s="18" t="n"/>
      <c r="O146" s="10" t="n"/>
      <c r="P146" s="19" t="n"/>
      <c r="Q146" s="10" t="n"/>
      <c r="R146" s="18" t="n"/>
      <c r="S146" s="20">
        <f>IF(COUNTA(B146:R146)=0,"",IF((IF(((B146="")+(C146="")+(D146="")+(E146="")+(F146="")+(H146="")+(I146="")+(J146="")+(M146="")+(Q146=""))&gt;0,"• حقول إلزامية ناقصة ","")&amp;IF(AND(D146&lt;&gt;"",COUNTIF($D$6:$D$205,D146)&gt;1),"• اسم المستخدم مكرر ","")&amp;IF(AND(D146&lt;&gt;"",ISNUMBER(SEARCH(" ",D146))),"• اسم المستخدم فيه مسافة ","")&amp;IF(AND(E146&lt;&gt;"",OR(ISERROR(SEARCH("@",E146)),ISERROR(SEARCH(".",E146)))),"• البريد غير صحيح ","")&amp;IF(AND(F146&lt;&gt;"",OR(LEN(F146)&lt;&gt;10,LEFT(F146,2)&lt;&gt;"05",ISERROR(--F146))),"• الجوال ليس بصيغة 05XXXXXXXX ","")&amp;IF(AND(L146&lt;&gt;"",OR(LEN(L146)&lt;2,LEN(L146)&gt;6,ISERROR(--L146),ISNUMBER(SEARCH(".",L146)))),"• التحويلة يجب أن تكون 2-6 أرقام ","")&amp;IF(AND(L146&lt;&gt;"",COUNTIF($L$6:$L$205,L146)&gt;1),"• التحويلة مكررة ","")&amp;IF(AND(M146="نعم",L146=""),"• يجري مكالمات بدون تحويلة ","")&amp;IF(AND(K146&lt;&gt;"",COUNTIF($D$6:$D$205,K146)=0),"• المشرف غير موجود في الجدول ","")&amp;IF(AND(J146="موظف تحصيل",K146=""),"• موظف التحصيل يحتاج مشرفاً ","")&amp;IF(AND(O146&lt;&gt;"",P146=""),"• نوع الهدف بدون قيمة ",""))="","✔ مكتمل",IF(((B146="")+(C146="")+(D146="")+(E146="")+(F146="")+(H146="")+(I146="")+(J146="")+(M146="")+(Q146=""))&gt;0,"• حقول إلزامية ناقصة ","")&amp;IF(AND(D146&lt;&gt;"",COUNTIF($D$6:$D$205,D146)&gt;1),"• اسم المستخدم مكرر ","")&amp;IF(AND(D146&lt;&gt;"",ISNUMBER(SEARCH(" ",D146))),"• اسم المستخدم فيه مسافة ","")&amp;IF(AND(E146&lt;&gt;"",OR(ISERROR(SEARCH("@",E146)),ISERROR(SEARCH(".",E146)))),"• البريد غير صحيح ","")&amp;IF(AND(F146&lt;&gt;"",OR(LEN(F146)&lt;&gt;10,LEFT(F146,2)&lt;&gt;"05",ISERROR(--F146))),"• الجوال ليس بصيغة 05XXXXXXXX ","")&amp;IF(AND(L146&lt;&gt;"",OR(LEN(L146)&lt;2,LEN(L146)&gt;6,ISERROR(--L146),ISNUMBER(SEARCH(".",L146)))),"• التحويلة يجب أن تكون 2-6 أرقام ","")&amp;IF(AND(L146&lt;&gt;"",COUNTIF($L$6:$L$205,L146)&gt;1),"• التحويلة مكررة ","")&amp;IF(AND(M146="نعم",L146=""),"• يجري مكالمات بدون تحويلة ","")&amp;IF(AND(K146&lt;&gt;"",COUNTIF($D$6:$D$205,K146)=0),"• المشرف غير موجود في الجدول ","")&amp;IF(AND(J146="موظف تحصيل",K146=""),"• موظف التحصيل يحتاج مشرفاً ","")&amp;IF(AND(O146&lt;&gt;"",P146=""),"• نوع الهدف بدون قيمة ","")))</f>
        <v/>
      </c>
    </row>
    <row r="147">
      <c r="A147" s="17">
        <f>IF(COUNTA(B147:R147)=0,"",ROW()-5)</f>
        <v/>
      </c>
      <c r="B147" s="18" t="n"/>
      <c r="C147" s="18" t="n"/>
      <c r="D147" s="18" t="n"/>
      <c r="E147" s="18" t="n"/>
      <c r="F147" s="18" t="n"/>
      <c r="G147" s="18" t="n"/>
      <c r="H147" s="10" t="n"/>
      <c r="I147" s="10" t="n"/>
      <c r="J147" s="10" t="n"/>
      <c r="K147" s="10" t="n"/>
      <c r="L147" s="18" t="n"/>
      <c r="M147" s="10" t="n"/>
      <c r="N147" s="18" t="n"/>
      <c r="O147" s="10" t="n"/>
      <c r="P147" s="19" t="n"/>
      <c r="Q147" s="10" t="n"/>
      <c r="R147" s="18" t="n"/>
      <c r="S147" s="20">
        <f>IF(COUNTA(B147:R147)=0,"",IF((IF(((B147="")+(C147="")+(D147="")+(E147="")+(F147="")+(H147="")+(I147="")+(J147="")+(M147="")+(Q147=""))&gt;0,"• حقول إلزامية ناقصة ","")&amp;IF(AND(D147&lt;&gt;"",COUNTIF($D$6:$D$205,D147)&gt;1),"• اسم المستخدم مكرر ","")&amp;IF(AND(D147&lt;&gt;"",ISNUMBER(SEARCH(" ",D147))),"• اسم المستخدم فيه مسافة ","")&amp;IF(AND(E147&lt;&gt;"",OR(ISERROR(SEARCH("@",E147)),ISERROR(SEARCH(".",E147)))),"• البريد غير صحيح ","")&amp;IF(AND(F147&lt;&gt;"",OR(LEN(F147)&lt;&gt;10,LEFT(F147,2)&lt;&gt;"05",ISERROR(--F147))),"• الجوال ليس بصيغة 05XXXXXXXX ","")&amp;IF(AND(L147&lt;&gt;"",OR(LEN(L147)&lt;2,LEN(L147)&gt;6,ISERROR(--L147),ISNUMBER(SEARCH(".",L147)))),"• التحويلة يجب أن تكون 2-6 أرقام ","")&amp;IF(AND(L147&lt;&gt;"",COUNTIF($L$6:$L$205,L147)&gt;1),"• التحويلة مكررة ","")&amp;IF(AND(M147="نعم",L147=""),"• يجري مكالمات بدون تحويلة ","")&amp;IF(AND(K147&lt;&gt;"",COUNTIF($D$6:$D$205,K147)=0),"• المشرف غير موجود في الجدول ","")&amp;IF(AND(J147="موظف تحصيل",K147=""),"• موظف التحصيل يحتاج مشرفاً ","")&amp;IF(AND(O147&lt;&gt;"",P147=""),"• نوع الهدف بدون قيمة ",""))="","✔ مكتمل",IF(((B147="")+(C147="")+(D147="")+(E147="")+(F147="")+(H147="")+(I147="")+(J147="")+(M147="")+(Q147=""))&gt;0,"• حقول إلزامية ناقصة ","")&amp;IF(AND(D147&lt;&gt;"",COUNTIF($D$6:$D$205,D147)&gt;1),"• اسم المستخدم مكرر ","")&amp;IF(AND(D147&lt;&gt;"",ISNUMBER(SEARCH(" ",D147))),"• اسم المستخدم فيه مسافة ","")&amp;IF(AND(E147&lt;&gt;"",OR(ISERROR(SEARCH("@",E147)),ISERROR(SEARCH(".",E147)))),"• البريد غير صحيح ","")&amp;IF(AND(F147&lt;&gt;"",OR(LEN(F147)&lt;&gt;10,LEFT(F147,2)&lt;&gt;"05",ISERROR(--F147))),"• الجوال ليس بصيغة 05XXXXXXXX ","")&amp;IF(AND(L147&lt;&gt;"",OR(LEN(L147)&lt;2,LEN(L147)&gt;6,ISERROR(--L147),ISNUMBER(SEARCH(".",L147)))),"• التحويلة يجب أن تكون 2-6 أرقام ","")&amp;IF(AND(L147&lt;&gt;"",COUNTIF($L$6:$L$205,L147)&gt;1),"• التحويلة مكررة ","")&amp;IF(AND(M147="نعم",L147=""),"• يجري مكالمات بدون تحويلة ","")&amp;IF(AND(K147&lt;&gt;"",COUNTIF($D$6:$D$205,K147)=0),"• المشرف غير موجود في الجدول ","")&amp;IF(AND(J147="موظف تحصيل",K147=""),"• موظف التحصيل يحتاج مشرفاً ","")&amp;IF(AND(O147&lt;&gt;"",P147=""),"• نوع الهدف بدون قيمة ","")))</f>
        <v/>
      </c>
    </row>
    <row r="148">
      <c r="A148" s="17">
        <f>IF(COUNTA(B148:R148)=0,"",ROW()-5)</f>
        <v/>
      </c>
      <c r="B148" s="18" t="n"/>
      <c r="C148" s="18" t="n"/>
      <c r="D148" s="18" t="n"/>
      <c r="E148" s="18" t="n"/>
      <c r="F148" s="18" t="n"/>
      <c r="G148" s="18" t="n"/>
      <c r="H148" s="10" t="n"/>
      <c r="I148" s="10" t="n"/>
      <c r="J148" s="10" t="n"/>
      <c r="K148" s="10" t="n"/>
      <c r="L148" s="18" t="n"/>
      <c r="M148" s="10" t="n"/>
      <c r="N148" s="18" t="n"/>
      <c r="O148" s="10" t="n"/>
      <c r="P148" s="19" t="n"/>
      <c r="Q148" s="10" t="n"/>
      <c r="R148" s="18" t="n"/>
      <c r="S148" s="20">
        <f>IF(COUNTA(B148:R148)=0,"",IF((IF(((B148="")+(C148="")+(D148="")+(E148="")+(F148="")+(H148="")+(I148="")+(J148="")+(M148="")+(Q148=""))&gt;0,"• حقول إلزامية ناقصة ","")&amp;IF(AND(D148&lt;&gt;"",COUNTIF($D$6:$D$205,D148)&gt;1),"• اسم المستخدم مكرر ","")&amp;IF(AND(D148&lt;&gt;"",ISNUMBER(SEARCH(" ",D148))),"• اسم المستخدم فيه مسافة ","")&amp;IF(AND(E148&lt;&gt;"",OR(ISERROR(SEARCH("@",E148)),ISERROR(SEARCH(".",E148)))),"• البريد غير صحيح ","")&amp;IF(AND(F148&lt;&gt;"",OR(LEN(F148)&lt;&gt;10,LEFT(F148,2)&lt;&gt;"05",ISERROR(--F148))),"• الجوال ليس بصيغة 05XXXXXXXX ","")&amp;IF(AND(L148&lt;&gt;"",OR(LEN(L148)&lt;2,LEN(L148)&gt;6,ISERROR(--L148),ISNUMBER(SEARCH(".",L148)))),"• التحويلة يجب أن تكون 2-6 أرقام ","")&amp;IF(AND(L148&lt;&gt;"",COUNTIF($L$6:$L$205,L148)&gt;1),"• التحويلة مكررة ","")&amp;IF(AND(M148="نعم",L148=""),"• يجري مكالمات بدون تحويلة ","")&amp;IF(AND(K148&lt;&gt;"",COUNTIF($D$6:$D$205,K148)=0),"• المشرف غير موجود في الجدول ","")&amp;IF(AND(J148="موظف تحصيل",K148=""),"• موظف التحصيل يحتاج مشرفاً ","")&amp;IF(AND(O148&lt;&gt;"",P148=""),"• نوع الهدف بدون قيمة ",""))="","✔ مكتمل",IF(((B148="")+(C148="")+(D148="")+(E148="")+(F148="")+(H148="")+(I148="")+(J148="")+(M148="")+(Q148=""))&gt;0,"• حقول إلزامية ناقصة ","")&amp;IF(AND(D148&lt;&gt;"",COUNTIF($D$6:$D$205,D148)&gt;1),"• اسم المستخدم مكرر ","")&amp;IF(AND(D148&lt;&gt;"",ISNUMBER(SEARCH(" ",D148))),"• اسم المستخدم فيه مسافة ","")&amp;IF(AND(E148&lt;&gt;"",OR(ISERROR(SEARCH("@",E148)),ISERROR(SEARCH(".",E148)))),"• البريد غير صحيح ","")&amp;IF(AND(F148&lt;&gt;"",OR(LEN(F148)&lt;&gt;10,LEFT(F148,2)&lt;&gt;"05",ISERROR(--F148))),"• الجوال ليس بصيغة 05XXXXXXXX ","")&amp;IF(AND(L148&lt;&gt;"",OR(LEN(L148)&lt;2,LEN(L148)&gt;6,ISERROR(--L148),ISNUMBER(SEARCH(".",L148)))),"• التحويلة يجب أن تكون 2-6 أرقام ","")&amp;IF(AND(L148&lt;&gt;"",COUNTIF($L$6:$L$205,L148)&gt;1),"• التحويلة مكررة ","")&amp;IF(AND(M148="نعم",L148=""),"• يجري مكالمات بدون تحويلة ","")&amp;IF(AND(K148&lt;&gt;"",COUNTIF($D$6:$D$205,K148)=0),"• المشرف غير موجود في الجدول ","")&amp;IF(AND(J148="موظف تحصيل",K148=""),"• موظف التحصيل يحتاج مشرفاً ","")&amp;IF(AND(O148&lt;&gt;"",P148=""),"• نوع الهدف بدون قيمة ","")))</f>
        <v/>
      </c>
    </row>
    <row r="149">
      <c r="A149" s="17">
        <f>IF(COUNTA(B149:R149)=0,"",ROW()-5)</f>
        <v/>
      </c>
      <c r="B149" s="18" t="n"/>
      <c r="C149" s="18" t="n"/>
      <c r="D149" s="18" t="n"/>
      <c r="E149" s="18" t="n"/>
      <c r="F149" s="18" t="n"/>
      <c r="G149" s="18" t="n"/>
      <c r="H149" s="10" t="n"/>
      <c r="I149" s="10" t="n"/>
      <c r="J149" s="10" t="n"/>
      <c r="K149" s="10" t="n"/>
      <c r="L149" s="18" t="n"/>
      <c r="M149" s="10" t="n"/>
      <c r="N149" s="18" t="n"/>
      <c r="O149" s="10" t="n"/>
      <c r="P149" s="19" t="n"/>
      <c r="Q149" s="10" t="n"/>
      <c r="R149" s="18" t="n"/>
      <c r="S149" s="20">
        <f>IF(COUNTA(B149:R149)=0,"",IF((IF(((B149="")+(C149="")+(D149="")+(E149="")+(F149="")+(H149="")+(I149="")+(J149="")+(M149="")+(Q149=""))&gt;0,"• حقول إلزامية ناقصة ","")&amp;IF(AND(D149&lt;&gt;"",COUNTIF($D$6:$D$205,D149)&gt;1),"• اسم المستخدم مكرر ","")&amp;IF(AND(D149&lt;&gt;"",ISNUMBER(SEARCH(" ",D149))),"• اسم المستخدم فيه مسافة ","")&amp;IF(AND(E149&lt;&gt;"",OR(ISERROR(SEARCH("@",E149)),ISERROR(SEARCH(".",E149)))),"• البريد غير صحيح ","")&amp;IF(AND(F149&lt;&gt;"",OR(LEN(F149)&lt;&gt;10,LEFT(F149,2)&lt;&gt;"05",ISERROR(--F149))),"• الجوال ليس بصيغة 05XXXXXXXX ","")&amp;IF(AND(L149&lt;&gt;"",OR(LEN(L149)&lt;2,LEN(L149)&gt;6,ISERROR(--L149),ISNUMBER(SEARCH(".",L149)))),"• التحويلة يجب أن تكون 2-6 أرقام ","")&amp;IF(AND(L149&lt;&gt;"",COUNTIF($L$6:$L$205,L149)&gt;1),"• التحويلة مكررة ","")&amp;IF(AND(M149="نعم",L149=""),"• يجري مكالمات بدون تحويلة ","")&amp;IF(AND(K149&lt;&gt;"",COUNTIF($D$6:$D$205,K149)=0),"• المشرف غير موجود في الجدول ","")&amp;IF(AND(J149="موظف تحصيل",K149=""),"• موظف التحصيل يحتاج مشرفاً ","")&amp;IF(AND(O149&lt;&gt;"",P149=""),"• نوع الهدف بدون قيمة ",""))="","✔ مكتمل",IF(((B149="")+(C149="")+(D149="")+(E149="")+(F149="")+(H149="")+(I149="")+(J149="")+(M149="")+(Q149=""))&gt;0,"• حقول إلزامية ناقصة ","")&amp;IF(AND(D149&lt;&gt;"",COUNTIF($D$6:$D$205,D149)&gt;1),"• اسم المستخدم مكرر ","")&amp;IF(AND(D149&lt;&gt;"",ISNUMBER(SEARCH(" ",D149))),"• اسم المستخدم فيه مسافة ","")&amp;IF(AND(E149&lt;&gt;"",OR(ISERROR(SEARCH("@",E149)),ISERROR(SEARCH(".",E149)))),"• البريد غير صحيح ","")&amp;IF(AND(F149&lt;&gt;"",OR(LEN(F149)&lt;&gt;10,LEFT(F149,2)&lt;&gt;"05",ISERROR(--F149))),"• الجوال ليس بصيغة 05XXXXXXXX ","")&amp;IF(AND(L149&lt;&gt;"",OR(LEN(L149)&lt;2,LEN(L149)&gt;6,ISERROR(--L149),ISNUMBER(SEARCH(".",L149)))),"• التحويلة يجب أن تكون 2-6 أرقام ","")&amp;IF(AND(L149&lt;&gt;"",COUNTIF($L$6:$L$205,L149)&gt;1),"• التحويلة مكررة ","")&amp;IF(AND(M149="نعم",L149=""),"• يجري مكالمات بدون تحويلة ","")&amp;IF(AND(K149&lt;&gt;"",COUNTIF($D$6:$D$205,K149)=0),"• المشرف غير موجود في الجدول ","")&amp;IF(AND(J149="موظف تحصيل",K149=""),"• موظف التحصيل يحتاج مشرفاً ","")&amp;IF(AND(O149&lt;&gt;"",P149=""),"• نوع الهدف بدون قيمة ","")))</f>
        <v/>
      </c>
    </row>
    <row r="150">
      <c r="A150" s="17">
        <f>IF(COUNTA(B150:R150)=0,"",ROW()-5)</f>
        <v/>
      </c>
      <c r="B150" s="18" t="n"/>
      <c r="C150" s="18" t="n"/>
      <c r="D150" s="18" t="n"/>
      <c r="E150" s="18" t="n"/>
      <c r="F150" s="18" t="n"/>
      <c r="G150" s="18" t="n"/>
      <c r="H150" s="10" t="n"/>
      <c r="I150" s="10" t="n"/>
      <c r="J150" s="10" t="n"/>
      <c r="K150" s="10" t="n"/>
      <c r="L150" s="18" t="n"/>
      <c r="M150" s="10" t="n"/>
      <c r="N150" s="18" t="n"/>
      <c r="O150" s="10" t="n"/>
      <c r="P150" s="19" t="n"/>
      <c r="Q150" s="10" t="n"/>
      <c r="R150" s="18" t="n"/>
      <c r="S150" s="20">
        <f>IF(COUNTA(B150:R150)=0,"",IF((IF(((B150="")+(C150="")+(D150="")+(E150="")+(F150="")+(H150="")+(I150="")+(J150="")+(M150="")+(Q150=""))&gt;0,"• حقول إلزامية ناقصة ","")&amp;IF(AND(D150&lt;&gt;"",COUNTIF($D$6:$D$205,D150)&gt;1),"• اسم المستخدم مكرر ","")&amp;IF(AND(D150&lt;&gt;"",ISNUMBER(SEARCH(" ",D150))),"• اسم المستخدم فيه مسافة ","")&amp;IF(AND(E150&lt;&gt;"",OR(ISERROR(SEARCH("@",E150)),ISERROR(SEARCH(".",E150)))),"• البريد غير صحيح ","")&amp;IF(AND(F150&lt;&gt;"",OR(LEN(F150)&lt;&gt;10,LEFT(F150,2)&lt;&gt;"05",ISERROR(--F150))),"• الجوال ليس بصيغة 05XXXXXXXX ","")&amp;IF(AND(L150&lt;&gt;"",OR(LEN(L150)&lt;2,LEN(L150)&gt;6,ISERROR(--L150),ISNUMBER(SEARCH(".",L150)))),"• التحويلة يجب أن تكون 2-6 أرقام ","")&amp;IF(AND(L150&lt;&gt;"",COUNTIF($L$6:$L$205,L150)&gt;1),"• التحويلة مكررة ","")&amp;IF(AND(M150="نعم",L150=""),"• يجري مكالمات بدون تحويلة ","")&amp;IF(AND(K150&lt;&gt;"",COUNTIF($D$6:$D$205,K150)=0),"• المشرف غير موجود في الجدول ","")&amp;IF(AND(J150="موظف تحصيل",K150=""),"• موظف التحصيل يحتاج مشرفاً ","")&amp;IF(AND(O150&lt;&gt;"",P150=""),"• نوع الهدف بدون قيمة ",""))="","✔ مكتمل",IF(((B150="")+(C150="")+(D150="")+(E150="")+(F150="")+(H150="")+(I150="")+(J150="")+(M150="")+(Q150=""))&gt;0,"• حقول إلزامية ناقصة ","")&amp;IF(AND(D150&lt;&gt;"",COUNTIF($D$6:$D$205,D150)&gt;1),"• اسم المستخدم مكرر ","")&amp;IF(AND(D150&lt;&gt;"",ISNUMBER(SEARCH(" ",D150))),"• اسم المستخدم فيه مسافة ","")&amp;IF(AND(E150&lt;&gt;"",OR(ISERROR(SEARCH("@",E150)),ISERROR(SEARCH(".",E150)))),"• البريد غير صحيح ","")&amp;IF(AND(F150&lt;&gt;"",OR(LEN(F150)&lt;&gt;10,LEFT(F150,2)&lt;&gt;"05",ISERROR(--F150))),"• الجوال ليس بصيغة 05XXXXXXXX ","")&amp;IF(AND(L150&lt;&gt;"",OR(LEN(L150)&lt;2,LEN(L150)&gt;6,ISERROR(--L150),ISNUMBER(SEARCH(".",L150)))),"• التحويلة يجب أن تكون 2-6 أرقام ","")&amp;IF(AND(L150&lt;&gt;"",COUNTIF($L$6:$L$205,L150)&gt;1),"• التحويلة مكررة ","")&amp;IF(AND(M150="نعم",L150=""),"• يجري مكالمات بدون تحويلة ","")&amp;IF(AND(K150&lt;&gt;"",COUNTIF($D$6:$D$205,K150)=0),"• المشرف غير موجود في الجدول ","")&amp;IF(AND(J150="موظف تحصيل",K150=""),"• موظف التحصيل يحتاج مشرفاً ","")&amp;IF(AND(O150&lt;&gt;"",P150=""),"• نوع الهدف بدون قيمة ","")))</f>
        <v/>
      </c>
    </row>
    <row r="151">
      <c r="A151" s="17">
        <f>IF(COUNTA(B151:R151)=0,"",ROW()-5)</f>
        <v/>
      </c>
      <c r="B151" s="18" t="n"/>
      <c r="C151" s="18" t="n"/>
      <c r="D151" s="18" t="n"/>
      <c r="E151" s="18" t="n"/>
      <c r="F151" s="18" t="n"/>
      <c r="G151" s="18" t="n"/>
      <c r="H151" s="10" t="n"/>
      <c r="I151" s="10" t="n"/>
      <c r="J151" s="10" t="n"/>
      <c r="K151" s="10" t="n"/>
      <c r="L151" s="18" t="n"/>
      <c r="M151" s="10" t="n"/>
      <c r="N151" s="18" t="n"/>
      <c r="O151" s="10" t="n"/>
      <c r="P151" s="19" t="n"/>
      <c r="Q151" s="10" t="n"/>
      <c r="R151" s="18" t="n"/>
      <c r="S151" s="20">
        <f>IF(COUNTA(B151:R151)=0,"",IF((IF(((B151="")+(C151="")+(D151="")+(E151="")+(F151="")+(H151="")+(I151="")+(J151="")+(M151="")+(Q151=""))&gt;0,"• حقول إلزامية ناقصة ","")&amp;IF(AND(D151&lt;&gt;"",COUNTIF($D$6:$D$205,D151)&gt;1),"• اسم المستخدم مكرر ","")&amp;IF(AND(D151&lt;&gt;"",ISNUMBER(SEARCH(" ",D151))),"• اسم المستخدم فيه مسافة ","")&amp;IF(AND(E151&lt;&gt;"",OR(ISERROR(SEARCH("@",E151)),ISERROR(SEARCH(".",E151)))),"• البريد غير صحيح ","")&amp;IF(AND(F151&lt;&gt;"",OR(LEN(F151)&lt;&gt;10,LEFT(F151,2)&lt;&gt;"05",ISERROR(--F151))),"• الجوال ليس بصيغة 05XXXXXXXX ","")&amp;IF(AND(L151&lt;&gt;"",OR(LEN(L151)&lt;2,LEN(L151)&gt;6,ISERROR(--L151),ISNUMBER(SEARCH(".",L151)))),"• التحويلة يجب أن تكون 2-6 أرقام ","")&amp;IF(AND(L151&lt;&gt;"",COUNTIF($L$6:$L$205,L151)&gt;1),"• التحويلة مكررة ","")&amp;IF(AND(M151="نعم",L151=""),"• يجري مكالمات بدون تحويلة ","")&amp;IF(AND(K151&lt;&gt;"",COUNTIF($D$6:$D$205,K151)=0),"• المشرف غير موجود في الجدول ","")&amp;IF(AND(J151="موظف تحصيل",K151=""),"• موظف التحصيل يحتاج مشرفاً ","")&amp;IF(AND(O151&lt;&gt;"",P151=""),"• نوع الهدف بدون قيمة ",""))="","✔ مكتمل",IF(((B151="")+(C151="")+(D151="")+(E151="")+(F151="")+(H151="")+(I151="")+(J151="")+(M151="")+(Q151=""))&gt;0,"• حقول إلزامية ناقصة ","")&amp;IF(AND(D151&lt;&gt;"",COUNTIF($D$6:$D$205,D151)&gt;1),"• اسم المستخدم مكرر ","")&amp;IF(AND(D151&lt;&gt;"",ISNUMBER(SEARCH(" ",D151))),"• اسم المستخدم فيه مسافة ","")&amp;IF(AND(E151&lt;&gt;"",OR(ISERROR(SEARCH("@",E151)),ISERROR(SEARCH(".",E151)))),"• البريد غير صحيح ","")&amp;IF(AND(F151&lt;&gt;"",OR(LEN(F151)&lt;&gt;10,LEFT(F151,2)&lt;&gt;"05",ISERROR(--F151))),"• الجوال ليس بصيغة 05XXXXXXXX ","")&amp;IF(AND(L151&lt;&gt;"",OR(LEN(L151)&lt;2,LEN(L151)&gt;6,ISERROR(--L151),ISNUMBER(SEARCH(".",L151)))),"• التحويلة يجب أن تكون 2-6 أرقام ","")&amp;IF(AND(L151&lt;&gt;"",COUNTIF($L$6:$L$205,L151)&gt;1),"• التحويلة مكررة ","")&amp;IF(AND(M151="نعم",L151=""),"• يجري مكالمات بدون تحويلة ","")&amp;IF(AND(K151&lt;&gt;"",COUNTIF($D$6:$D$205,K151)=0),"• المشرف غير موجود في الجدول ","")&amp;IF(AND(J151="موظف تحصيل",K151=""),"• موظف التحصيل يحتاج مشرفاً ","")&amp;IF(AND(O151&lt;&gt;"",P151=""),"• نوع الهدف بدون قيمة ","")))</f>
        <v/>
      </c>
    </row>
    <row r="152">
      <c r="A152" s="17">
        <f>IF(COUNTA(B152:R152)=0,"",ROW()-5)</f>
        <v/>
      </c>
      <c r="B152" s="18" t="n"/>
      <c r="C152" s="18" t="n"/>
      <c r="D152" s="18" t="n"/>
      <c r="E152" s="18" t="n"/>
      <c r="F152" s="18" t="n"/>
      <c r="G152" s="18" t="n"/>
      <c r="H152" s="10" t="n"/>
      <c r="I152" s="10" t="n"/>
      <c r="J152" s="10" t="n"/>
      <c r="K152" s="10" t="n"/>
      <c r="L152" s="18" t="n"/>
      <c r="M152" s="10" t="n"/>
      <c r="N152" s="18" t="n"/>
      <c r="O152" s="10" t="n"/>
      <c r="P152" s="19" t="n"/>
      <c r="Q152" s="10" t="n"/>
      <c r="R152" s="18" t="n"/>
      <c r="S152" s="20">
        <f>IF(COUNTA(B152:R152)=0,"",IF((IF(((B152="")+(C152="")+(D152="")+(E152="")+(F152="")+(H152="")+(I152="")+(J152="")+(M152="")+(Q152=""))&gt;0,"• حقول إلزامية ناقصة ","")&amp;IF(AND(D152&lt;&gt;"",COUNTIF($D$6:$D$205,D152)&gt;1),"• اسم المستخدم مكرر ","")&amp;IF(AND(D152&lt;&gt;"",ISNUMBER(SEARCH(" ",D152))),"• اسم المستخدم فيه مسافة ","")&amp;IF(AND(E152&lt;&gt;"",OR(ISERROR(SEARCH("@",E152)),ISERROR(SEARCH(".",E152)))),"• البريد غير صحيح ","")&amp;IF(AND(F152&lt;&gt;"",OR(LEN(F152)&lt;&gt;10,LEFT(F152,2)&lt;&gt;"05",ISERROR(--F152))),"• الجوال ليس بصيغة 05XXXXXXXX ","")&amp;IF(AND(L152&lt;&gt;"",OR(LEN(L152)&lt;2,LEN(L152)&gt;6,ISERROR(--L152),ISNUMBER(SEARCH(".",L152)))),"• التحويلة يجب أن تكون 2-6 أرقام ","")&amp;IF(AND(L152&lt;&gt;"",COUNTIF($L$6:$L$205,L152)&gt;1),"• التحويلة مكررة ","")&amp;IF(AND(M152="نعم",L152=""),"• يجري مكالمات بدون تحويلة ","")&amp;IF(AND(K152&lt;&gt;"",COUNTIF($D$6:$D$205,K152)=0),"• المشرف غير موجود في الجدول ","")&amp;IF(AND(J152="موظف تحصيل",K152=""),"• موظف التحصيل يحتاج مشرفاً ","")&amp;IF(AND(O152&lt;&gt;"",P152=""),"• نوع الهدف بدون قيمة ",""))="","✔ مكتمل",IF(((B152="")+(C152="")+(D152="")+(E152="")+(F152="")+(H152="")+(I152="")+(J152="")+(M152="")+(Q152=""))&gt;0,"• حقول إلزامية ناقصة ","")&amp;IF(AND(D152&lt;&gt;"",COUNTIF($D$6:$D$205,D152)&gt;1),"• اسم المستخدم مكرر ","")&amp;IF(AND(D152&lt;&gt;"",ISNUMBER(SEARCH(" ",D152))),"• اسم المستخدم فيه مسافة ","")&amp;IF(AND(E152&lt;&gt;"",OR(ISERROR(SEARCH("@",E152)),ISERROR(SEARCH(".",E152)))),"• البريد غير صحيح ","")&amp;IF(AND(F152&lt;&gt;"",OR(LEN(F152)&lt;&gt;10,LEFT(F152,2)&lt;&gt;"05",ISERROR(--F152))),"• الجوال ليس بصيغة 05XXXXXXXX ","")&amp;IF(AND(L152&lt;&gt;"",OR(LEN(L152)&lt;2,LEN(L152)&gt;6,ISERROR(--L152),ISNUMBER(SEARCH(".",L152)))),"• التحويلة يجب أن تكون 2-6 أرقام ","")&amp;IF(AND(L152&lt;&gt;"",COUNTIF($L$6:$L$205,L152)&gt;1),"• التحويلة مكررة ","")&amp;IF(AND(M152="نعم",L152=""),"• يجري مكالمات بدون تحويلة ","")&amp;IF(AND(K152&lt;&gt;"",COUNTIF($D$6:$D$205,K152)=0),"• المشرف غير موجود في الجدول ","")&amp;IF(AND(J152="موظف تحصيل",K152=""),"• موظف التحصيل يحتاج مشرفاً ","")&amp;IF(AND(O152&lt;&gt;"",P152=""),"• نوع الهدف بدون قيمة ","")))</f>
        <v/>
      </c>
    </row>
    <row r="153">
      <c r="A153" s="17">
        <f>IF(COUNTA(B153:R153)=0,"",ROW()-5)</f>
        <v/>
      </c>
      <c r="B153" s="18" t="n"/>
      <c r="C153" s="18" t="n"/>
      <c r="D153" s="18" t="n"/>
      <c r="E153" s="18" t="n"/>
      <c r="F153" s="18" t="n"/>
      <c r="G153" s="18" t="n"/>
      <c r="H153" s="10" t="n"/>
      <c r="I153" s="10" t="n"/>
      <c r="J153" s="10" t="n"/>
      <c r="K153" s="10" t="n"/>
      <c r="L153" s="18" t="n"/>
      <c r="M153" s="10" t="n"/>
      <c r="N153" s="18" t="n"/>
      <c r="O153" s="10" t="n"/>
      <c r="P153" s="19" t="n"/>
      <c r="Q153" s="10" t="n"/>
      <c r="R153" s="18" t="n"/>
      <c r="S153" s="20">
        <f>IF(COUNTA(B153:R153)=0,"",IF((IF(((B153="")+(C153="")+(D153="")+(E153="")+(F153="")+(H153="")+(I153="")+(J153="")+(M153="")+(Q153=""))&gt;0,"• حقول إلزامية ناقصة ","")&amp;IF(AND(D153&lt;&gt;"",COUNTIF($D$6:$D$205,D153)&gt;1),"• اسم المستخدم مكرر ","")&amp;IF(AND(D153&lt;&gt;"",ISNUMBER(SEARCH(" ",D153))),"• اسم المستخدم فيه مسافة ","")&amp;IF(AND(E153&lt;&gt;"",OR(ISERROR(SEARCH("@",E153)),ISERROR(SEARCH(".",E153)))),"• البريد غير صحيح ","")&amp;IF(AND(F153&lt;&gt;"",OR(LEN(F153)&lt;&gt;10,LEFT(F153,2)&lt;&gt;"05",ISERROR(--F153))),"• الجوال ليس بصيغة 05XXXXXXXX ","")&amp;IF(AND(L153&lt;&gt;"",OR(LEN(L153)&lt;2,LEN(L153)&gt;6,ISERROR(--L153),ISNUMBER(SEARCH(".",L153)))),"• التحويلة يجب أن تكون 2-6 أرقام ","")&amp;IF(AND(L153&lt;&gt;"",COUNTIF($L$6:$L$205,L153)&gt;1),"• التحويلة مكررة ","")&amp;IF(AND(M153="نعم",L153=""),"• يجري مكالمات بدون تحويلة ","")&amp;IF(AND(K153&lt;&gt;"",COUNTIF($D$6:$D$205,K153)=0),"• المشرف غير موجود في الجدول ","")&amp;IF(AND(J153="موظف تحصيل",K153=""),"• موظف التحصيل يحتاج مشرفاً ","")&amp;IF(AND(O153&lt;&gt;"",P153=""),"• نوع الهدف بدون قيمة ",""))="","✔ مكتمل",IF(((B153="")+(C153="")+(D153="")+(E153="")+(F153="")+(H153="")+(I153="")+(J153="")+(M153="")+(Q153=""))&gt;0,"• حقول إلزامية ناقصة ","")&amp;IF(AND(D153&lt;&gt;"",COUNTIF($D$6:$D$205,D153)&gt;1),"• اسم المستخدم مكرر ","")&amp;IF(AND(D153&lt;&gt;"",ISNUMBER(SEARCH(" ",D153))),"• اسم المستخدم فيه مسافة ","")&amp;IF(AND(E153&lt;&gt;"",OR(ISERROR(SEARCH("@",E153)),ISERROR(SEARCH(".",E153)))),"• البريد غير صحيح ","")&amp;IF(AND(F153&lt;&gt;"",OR(LEN(F153)&lt;&gt;10,LEFT(F153,2)&lt;&gt;"05",ISERROR(--F153))),"• الجوال ليس بصيغة 05XXXXXXXX ","")&amp;IF(AND(L153&lt;&gt;"",OR(LEN(L153)&lt;2,LEN(L153)&gt;6,ISERROR(--L153),ISNUMBER(SEARCH(".",L153)))),"• التحويلة يجب أن تكون 2-6 أرقام ","")&amp;IF(AND(L153&lt;&gt;"",COUNTIF($L$6:$L$205,L153)&gt;1),"• التحويلة مكررة ","")&amp;IF(AND(M153="نعم",L153=""),"• يجري مكالمات بدون تحويلة ","")&amp;IF(AND(K153&lt;&gt;"",COUNTIF($D$6:$D$205,K153)=0),"• المشرف غير موجود في الجدول ","")&amp;IF(AND(J153="موظف تحصيل",K153=""),"• موظف التحصيل يحتاج مشرفاً ","")&amp;IF(AND(O153&lt;&gt;"",P153=""),"• نوع الهدف بدون قيمة ","")))</f>
        <v/>
      </c>
    </row>
    <row r="154">
      <c r="A154" s="17">
        <f>IF(COUNTA(B154:R154)=0,"",ROW()-5)</f>
        <v/>
      </c>
      <c r="B154" s="18" t="n"/>
      <c r="C154" s="18" t="n"/>
      <c r="D154" s="18" t="n"/>
      <c r="E154" s="18" t="n"/>
      <c r="F154" s="18" t="n"/>
      <c r="G154" s="18" t="n"/>
      <c r="H154" s="10" t="n"/>
      <c r="I154" s="10" t="n"/>
      <c r="J154" s="10" t="n"/>
      <c r="K154" s="10" t="n"/>
      <c r="L154" s="18" t="n"/>
      <c r="M154" s="10" t="n"/>
      <c r="N154" s="18" t="n"/>
      <c r="O154" s="10" t="n"/>
      <c r="P154" s="19" t="n"/>
      <c r="Q154" s="10" t="n"/>
      <c r="R154" s="18" t="n"/>
      <c r="S154" s="20">
        <f>IF(COUNTA(B154:R154)=0,"",IF((IF(((B154="")+(C154="")+(D154="")+(E154="")+(F154="")+(H154="")+(I154="")+(J154="")+(M154="")+(Q154=""))&gt;0,"• حقول إلزامية ناقصة ","")&amp;IF(AND(D154&lt;&gt;"",COUNTIF($D$6:$D$205,D154)&gt;1),"• اسم المستخدم مكرر ","")&amp;IF(AND(D154&lt;&gt;"",ISNUMBER(SEARCH(" ",D154))),"• اسم المستخدم فيه مسافة ","")&amp;IF(AND(E154&lt;&gt;"",OR(ISERROR(SEARCH("@",E154)),ISERROR(SEARCH(".",E154)))),"• البريد غير صحيح ","")&amp;IF(AND(F154&lt;&gt;"",OR(LEN(F154)&lt;&gt;10,LEFT(F154,2)&lt;&gt;"05",ISERROR(--F154))),"• الجوال ليس بصيغة 05XXXXXXXX ","")&amp;IF(AND(L154&lt;&gt;"",OR(LEN(L154)&lt;2,LEN(L154)&gt;6,ISERROR(--L154),ISNUMBER(SEARCH(".",L154)))),"• التحويلة يجب أن تكون 2-6 أرقام ","")&amp;IF(AND(L154&lt;&gt;"",COUNTIF($L$6:$L$205,L154)&gt;1),"• التحويلة مكررة ","")&amp;IF(AND(M154="نعم",L154=""),"• يجري مكالمات بدون تحويلة ","")&amp;IF(AND(K154&lt;&gt;"",COUNTIF($D$6:$D$205,K154)=0),"• المشرف غير موجود في الجدول ","")&amp;IF(AND(J154="موظف تحصيل",K154=""),"• موظف التحصيل يحتاج مشرفاً ","")&amp;IF(AND(O154&lt;&gt;"",P154=""),"• نوع الهدف بدون قيمة ",""))="","✔ مكتمل",IF(((B154="")+(C154="")+(D154="")+(E154="")+(F154="")+(H154="")+(I154="")+(J154="")+(M154="")+(Q154=""))&gt;0,"• حقول إلزامية ناقصة ","")&amp;IF(AND(D154&lt;&gt;"",COUNTIF($D$6:$D$205,D154)&gt;1),"• اسم المستخدم مكرر ","")&amp;IF(AND(D154&lt;&gt;"",ISNUMBER(SEARCH(" ",D154))),"• اسم المستخدم فيه مسافة ","")&amp;IF(AND(E154&lt;&gt;"",OR(ISERROR(SEARCH("@",E154)),ISERROR(SEARCH(".",E154)))),"• البريد غير صحيح ","")&amp;IF(AND(F154&lt;&gt;"",OR(LEN(F154)&lt;&gt;10,LEFT(F154,2)&lt;&gt;"05",ISERROR(--F154))),"• الجوال ليس بصيغة 05XXXXXXXX ","")&amp;IF(AND(L154&lt;&gt;"",OR(LEN(L154)&lt;2,LEN(L154)&gt;6,ISERROR(--L154),ISNUMBER(SEARCH(".",L154)))),"• التحويلة يجب أن تكون 2-6 أرقام ","")&amp;IF(AND(L154&lt;&gt;"",COUNTIF($L$6:$L$205,L154)&gt;1),"• التحويلة مكررة ","")&amp;IF(AND(M154="نعم",L154=""),"• يجري مكالمات بدون تحويلة ","")&amp;IF(AND(K154&lt;&gt;"",COUNTIF($D$6:$D$205,K154)=0),"• المشرف غير موجود في الجدول ","")&amp;IF(AND(J154="موظف تحصيل",K154=""),"• موظف التحصيل يحتاج مشرفاً ","")&amp;IF(AND(O154&lt;&gt;"",P154=""),"• نوع الهدف بدون قيمة ","")))</f>
        <v/>
      </c>
    </row>
    <row r="155">
      <c r="A155" s="17">
        <f>IF(COUNTA(B155:R155)=0,"",ROW()-5)</f>
        <v/>
      </c>
      <c r="B155" s="18" t="n"/>
      <c r="C155" s="18" t="n"/>
      <c r="D155" s="18" t="n"/>
      <c r="E155" s="18" t="n"/>
      <c r="F155" s="18" t="n"/>
      <c r="G155" s="18" t="n"/>
      <c r="H155" s="10" t="n"/>
      <c r="I155" s="10" t="n"/>
      <c r="J155" s="10" t="n"/>
      <c r="K155" s="10" t="n"/>
      <c r="L155" s="18" t="n"/>
      <c r="M155" s="10" t="n"/>
      <c r="N155" s="18" t="n"/>
      <c r="O155" s="10" t="n"/>
      <c r="P155" s="19" t="n"/>
      <c r="Q155" s="10" t="n"/>
      <c r="R155" s="18" t="n"/>
      <c r="S155" s="20">
        <f>IF(COUNTA(B155:R155)=0,"",IF((IF(((B155="")+(C155="")+(D155="")+(E155="")+(F155="")+(H155="")+(I155="")+(J155="")+(M155="")+(Q155=""))&gt;0,"• حقول إلزامية ناقصة ","")&amp;IF(AND(D155&lt;&gt;"",COUNTIF($D$6:$D$205,D155)&gt;1),"• اسم المستخدم مكرر ","")&amp;IF(AND(D155&lt;&gt;"",ISNUMBER(SEARCH(" ",D155))),"• اسم المستخدم فيه مسافة ","")&amp;IF(AND(E155&lt;&gt;"",OR(ISERROR(SEARCH("@",E155)),ISERROR(SEARCH(".",E155)))),"• البريد غير صحيح ","")&amp;IF(AND(F155&lt;&gt;"",OR(LEN(F155)&lt;&gt;10,LEFT(F155,2)&lt;&gt;"05",ISERROR(--F155))),"• الجوال ليس بصيغة 05XXXXXXXX ","")&amp;IF(AND(L155&lt;&gt;"",OR(LEN(L155)&lt;2,LEN(L155)&gt;6,ISERROR(--L155),ISNUMBER(SEARCH(".",L155)))),"• التحويلة يجب أن تكون 2-6 أرقام ","")&amp;IF(AND(L155&lt;&gt;"",COUNTIF($L$6:$L$205,L155)&gt;1),"• التحويلة مكررة ","")&amp;IF(AND(M155="نعم",L155=""),"• يجري مكالمات بدون تحويلة ","")&amp;IF(AND(K155&lt;&gt;"",COUNTIF($D$6:$D$205,K155)=0),"• المشرف غير موجود في الجدول ","")&amp;IF(AND(J155="موظف تحصيل",K155=""),"• موظف التحصيل يحتاج مشرفاً ","")&amp;IF(AND(O155&lt;&gt;"",P155=""),"• نوع الهدف بدون قيمة ",""))="","✔ مكتمل",IF(((B155="")+(C155="")+(D155="")+(E155="")+(F155="")+(H155="")+(I155="")+(J155="")+(M155="")+(Q155=""))&gt;0,"• حقول إلزامية ناقصة ","")&amp;IF(AND(D155&lt;&gt;"",COUNTIF($D$6:$D$205,D155)&gt;1),"• اسم المستخدم مكرر ","")&amp;IF(AND(D155&lt;&gt;"",ISNUMBER(SEARCH(" ",D155))),"• اسم المستخدم فيه مسافة ","")&amp;IF(AND(E155&lt;&gt;"",OR(ISERROR(SEARCH("@",E155)),ISERROR(SEARCH(".",E155)))),"• البريد غير صحيح ","")&amp;IF(AND(F155&lt;&gt;"",OR(LEN(F155)&lt;&gt;10,LEFT(F155,2)&lt;&gt;"05",ISERROR(--F155))),"• الجوال ليس بصيغة 05XXXXXXXX ","")&amp;IF(AND(L155&lt;&gt;"",OR(LEN(L155)&lt;2,LEN(L155)&gt;6,ISERROR(--L155),ISNUMBER(SEARCH(".",L155)))),"• التحويلة يجب أن تكون 2-6 أرقام ","")&amp;IF(AND(L155&lt;&gt;"",COUNTIF($L$6:$L$205,L155)&gt;1),"• التحويلة مكررة ","")&amp;IF(AND(M155="نعم",L155=""),"• يجري مكالمات بدون تحويلة ","")&amp;IF(AND(K155&lt;&gt;"",COUNTIF($D$6:$D$205,K155)=0),"• المشرف غير موجود في الجدول ","")&amp;IF(AND(J155="موظف تحصيل",K155=""),"• موظف التحصيل يحتاج مشرفاً ","")&amp;IF(AND(O155&lt;&gt;"",P155=""),"• نوع الهدف بدون قيمة ","")))</f>
        <v/>
      </c>
    </row>
    <row r="156">
      <c r="A156" s="17">
        <f>IF(COUNTA(B156:R156)=0,"",ROW()-5)</f>
        <v/>
      </c>
      <c r="B156" s="18" t="n"/>
      <c r="C156" s="18" t="n"/>
      <c r="D156" s="18" t="n"/>
      <c r="E156" s="18" t="n"/>
      <c r="F156" s="18" t="n"/>
      <c r="G156" s="18" t="n"/>
      <c r="H156" s="10" t="n"/>
      <c r="I156" s="10" t="n"/>
      <c r="J156" s="10" t="n"/>
      <c r="K156" s="10" t="n"/>
      <c r="L156" s="18" t="n"/>
      <c r="M156" s="10" t="n"/>
      <c r="N156" s="18" t="n"/>
      <c r="O156" s="10" t="n"/>
      <c r="P156" s="19" t="n"/>
      <c r="Q156" s="10" t="n"/>
      <c r="R156" s="18" t="n"/>
      <c r="S156" s="20">
        <f>IF(COUNTA(B156:R156)=0,"",IF((IF(((B156="")+(C156="")+(D156="")+(E156="")+(F156="")+(H156="")+(I156="")+(J156="")+(M156="")+(Q156=""))&gt;0,"• حقول إلزامية ناقصة ","")&amp;IF(AND(D156&lt;&gt;"",COUNTIF($D$6:$D$205,D156)&gt;1),"• اسم المستخدم مكرر ","")&amp;IF(AND(D156&lt;&gt;"",ISNUMBER(SEARCH(" ",D156))),"• اسم المستخدم فيه مسافة ","")&amp;IF(AND(E156&lt;&gt;"",OR(ISERROR(SEARCH("@",E156)),ISERROR(SEARCH(".",E156)))),"• البريد غير صحيح ","")&amp;IF(AND(F156&lt;&gt;"",OR(LEN(F156)&lt;&gt;10,LEFT(F156,2)&lt;&gt;"05",ISERROR(--F156))),"• الجوال ليس بصيغة 05XXXXXXXX ","")&amp;IF(AND(L156&lt;&gt;"",OR(LEN(L156)&lt;2,LEN(L156)&gt;6,ISERROR(--L156),ISNUMBER(SEARCH(".",L156)))),"• التحويلة يجب أن تكون 2-6 أرقام ","")&amp;IF(AND(L156&lt;&gt;"",COUNTIF($L$6:$L$205,L156)&gt;1),"• التحويلة مكررة ","")&amp;IF(AND(M156="نعم",L156=""),"• يجري مكالمات بدون تحويلة ","")&amp;IF(AND(K156&lt;&gt;"",COUNTIF($D$6:$D$205,K156)=0),"• المشرف غير موجود في الجدول ","")&amp;IF(AND(J156="موظف تحصيل",K156=""),"• موظف التحصيل يحتاج مشرفاً ","")&amp;IF(AND(O156&lt;&gt;"",P156=""),"• نوع الهدف بدون قيمة ",""))="","✔ مكتمل",IF(((B156="")+(C156="")+(D156="")+(E156="")+(F156="")+(H156="")+(I156="")+(J156="")+(M156="")+(Q156=""))&gt;0,"• حقول إلزامية ناقصة ","")&amp;IF(AND(D156&lt;&gt;"",COUNTIF($D$6:$D$205,D156)&gt;1),"• اسم المستخدم مكرر ","")&amp;IF(AND(D156&lt;&gt;"",ISNUMBER(SEARCH(" ",D156))),"• اسم المستخدم فيه مسافة ","")&amp;IF(AND(E156&lt;&gt;"",OR(ISERROR(SEARCH("@",E156)),ISERROR(SEARCH(".",E156)))),"• البريد غير صحيح ","")&amp;IF(AND(F156&lt;&gt;"",OR(LEN(F156)&lt;&gt;10,LEFT(F156,2)&lt;&gt;"05",ISERROR(--F156))),"• الجوال ليس بصيغة 05XXXXXXXX ","")&amp;IF(AND(L156&lt;&gt;"",OR(LEN(L156)&lt;2,LEN(L156)&gt;6,ISERROR(--L156),ISNUMBER(SEARCH(".",L156)))),"• التحويلة يجب أن تكون 2-6 أرقام ","")&amp;IF(AND(L156&lt;&gt;"",COUNTIF($L$6:$L$205,L156)&gt;1),"• التحويلة مكررة ","")&amp;IF(AND(M156="نعم",L156=""),"• يجري مكالمات بدون تحويلة ","")&amp;IF(AND(K156&lt;&gt;"",COUNTIF($D$6:$D$205,K156)=0),"• المشرف غير موجود في الجدول ","")&amp;IF(AND(J156="موظف تحصيل",K156=""),"• موظف التحصيل يحتاج مشرفاً ","")&amp;IF(AND(O156&lt;&gt;"",P156=""),"• نوع الهدف بدون قيمة ","")))</f>
        <v/>
      </c>
    </row>
    <row r="157">
      <c r="A157" s="17">
        <f>IF(COUNTA(B157:R157)=0,"",ROW()-5)</f>
        <v/>
      </c>
      <c r="B157" s="18" t="n"/>
      <c r="C157" s="18" t="n"/>
      <c r="D157" s="18" t="n"/>
      <c r="E157" s="18" t="n"/>
      <c r="F157" s="18" t="n"/>
      <c r="G157" s="18" t="n"/>
      <c r="H157" s="10" t="n"/>
      <c r="I157" s="10" t="n"/>
      <c r="J157" s="10" t="n"/>
      <c r="K157" s="10" t="n"/>
      <c r="L157" s="18" t="n"/>
      <c r="M157" s="10" t="n"/>
      <c r="N157" s="18" t="n"/>
      <c r="O157" s="10" t="n"/>
      <c r="P157" s="19" t="n"/>
      <c r="Q157" s="10" t="n"/>
      <c r="R157" s="18" t="n"/>
      <c r="S157" s="20">
        <f>IF(COUNTA(B157:R157)=0,"",IF((IF(((B157="")+(C157="")+(D157="")+(E157="")+(F157="")+(H157="")+(I157="")+(J157="")+(M157="")+(Q157=""))&gt;0,"• حقول إلزامية ناقصة ","")&amp;IF(AND(D157&lt;&gt;"",COUNTIF($D$6:$D$205,D157)&gt;1),"• اسم المستخدم مكرر ","")&amp;IF(AND(D157&lt;&gt;"",ISNUMBER(SEARCH(" ",D157))),"• اسم المستخدم فيه مسافة ","")&amp;IF(AND(E157&lt;&gt;"",OR(ISERROR(SEARCH("@",E157)),ISERROR(SEARCH(".",E157)))),"• البريد غير صحيح ","")&amp;IF(AND(F157&lt;&gt;"",OR(LEN(F157)&lt;&gt;10,LEFT(F157,2)&lt;&gt;"05",ISERROR(--F157))),"• الجوال ليس بصيغة 05XXXXXXXX ","")&amp;IF(AND(L157&lt;&gt;"",OR(LEN(L157)&lt;2,LEN(L157)&gt;6,ISERROR(--L157),ISNUMBER(SEARCH(".",L157)))),"• التحويلة يجب أن تكون 2-6 أرقام ","")&amp;IF(AND(L157&lt;&gt;"",COUNTIF($L$6:$L$205,L157)&gt;1),"• التحويلة مكررة ","")&amp;IF(AND(M157="نعم",L157=""),"• يجري مكالمات بدون تحويلة ","")&amp;IF(AND(K157&lt;&gt;"",COUNTIF($D$6:$D$205,K157)=0),"• المشرف غير موجود في الجدول ","")&amp;IF(AND(J157="موظف تحصيل",K157=""),"• موظف التحصيل يحتاج مشرفاً ","")&amp;IF(AND(O157&lt;&gt;"",P157=""),"• نوع الهدف بدون قيمة ",""))="","✔ مكتمل",IF(((B157="")+(C157="")+(D157="")+(E157="")+(F157="")+(H157="")+(I157="")+(J157="")+(M157="")+(Q157=""))&gt;0,"• حقول إلزامية ناقصة ","")&amp;IF(AND(D157&lt;&gt;"",COUNTIF($D$6:$D$205,D157)&gt;1),"• اسم المستخدم مكرر ","")&amp;IF(AND(D157&lt;&gt;"",ISNUMBER(SEARCH(" ",D157))),"• اسم المستخدم فيه مسافة ","")&amp;IF(AND(E157&lt;&gt;"",OR(ISERROR(SEARCH("@",E157)),ISERROR(SEARCH(".",E157)))),"• البريد غير صحيح ","")&amp;IF(AND(F157&lt;&gt;"",OR(LEN(F157)&lt;&gt;10,LEFT(F157,2)&lt;&gt;"05",ISERROR(--F157))),"• الجوال ليس بصيغة 05XXXXXXXX ","")&amp;IF(AND(L157&lt;&gt;"",OR(LEN(L157)&lt;2,LEN(L157)&gt;6,ISERROR(--L157),ISNUMBER(SEARCH(".",L157)))),"• التحويلة يجب أن تكون 2-6 أرقام ","")&amp;IF(AND(L157&lt;&gt;"",COUNTIF($L$6:$L$205,L157)&gt;1),"• التحويلة مكررة ","")&amp;IF(AND(M157="نعم",L157=""),"• يجري مكالمات بدون تحويلة ","")&amp;IF(AND(K157&lt;&gt;"",COUNTIF($D$6:$D$205,K157)=0),"• المشرف غير موجود في الجدول ","")&amp;IF(AND(J157="موظف تحصيل",K157=""),"• موظف التحصيل يحتاج مشرفاً ","")&amp;IF(AND(O157&lt;&gt;"",P157=""),"• نوع الهدف بدون قيمة ","")))</f>
        <v/>
      </c>
    </row>
    <row r="158">
      <c r="A158" s="17">
        <f>IF(COUNTA(B158:R158)=0,"",ROW()-5)</f>
        <v/>
      </c>
      <c r="B158" s="18" t="n"/>
      <c r="C158" s="18" t="n"/>
      <c r="D158" s="18" t="n"/>
      <c r="E158" s="18" t="n"/>
      <c r="F158" s="18" t="n"/>
      <c r="G158" s="18" t="n"/>
      <c r="H158" s="10" t="n"/>
      <c r="I158" s="10" t="n"/>
      <c r="J158" s="10" t="n"/>
      <c r="K158" s="10" t="n"/>
      <c r="L158" s="18" t="n"/>
      <c r="M158" s="10" t="n"/>
      <c r="N158" s="18" t="n"/>
      <c r="O158" s="10" t="n"/>
      <c r="P158" s="19" t="n"/>
      <c r="Q158" s="10" t="n"/>
      <c r="R158" s="18" t="n"/>
      <c r="S158" s="20">
        <f>IF(COUNTA(B158:R158)=0,"",IF((IF(((B158="")+(C158="")+(D158="")+(E158="")+(F158="")+(H158="")+(I158="")+(J158="")+(M158="")+(Q158=""))&gt;0,"• حقول إلزامية ناقصة ","")&amp;IF(AND(D158&lt;&gt;"",COUNTIF($D$6:$D$205,D158)&gt;1),"• اسم المستخدم مكرر ","")&amp;IF(AND(D158&lt;&gt;"",ISNUMBER(SEARCH(" ",D158))),"• اسم المستخدم فيه مسافة ","")&amp;IF(AND(E158&lt;&gt;"",OR(ISERROR(SEARCH("@",E158)),ISERROR(SEARCH(".",E158)))),"• البريد غير صحيح ","")&amp;IF(AND(F158&lt;&gt;"",OR(LEN(F158)&lt;&gt;10,LEFT(F158,2)&lt;&gt;"05",ISERROR(--F158))),"• الجوال ليس بصيغة 05XXXXXXXX ","")&amp;IF(AND(L158&lt;&gt;"",OR(LEN(L158)&lt;2,LEN(L158)&gt;6,ISERROR(--L158),ISNUMBER(SEARCH(".",L158)))),"• التحويلة يجب أن تكون 2-6 أرقام ","")&amp;IF(AND(L158&lt;&gt;"",COUNTIF($L$6:$L$205,L158)&gt;1),"• التحويلة مكررة ","")&amp;IF(AND(M158="نعم",L158=""),"• يجري مكالمات بدون تحويلة ","")&amp;IF(AND(K158&lt;&gt;"",COUNTIF($D$6:$D$205,K158)=0),"• المشرف غير موجود في الجدول ","")&amp;IF(AND(J158="موظف تحصيل",K158=""),"• موظف التحصيل يحتاج مشرفاً ","")&amp;IF(AND(O158&lt;&gt;"",P158=""),"• نوع الهدف بدون قيمة ",""))="","✔ مكتمل",IF(((B158="")+(C158="")+(D158="")+(E158="")+(F158="")+(H158="")+(I158="")+(J158="")+(M158="")+(Q158=""))&gt;0,"• حقول إلزامية ناقصة ","")&amp;IF(AND(D158&lt;&gt;"",COUNTIF($D$6:$D$205,D158)&gt;1),"• اسم المستخدم مكرر ","")&amp;IF(AND(D158&lt;&gt;"",ISNUMBER(SEARCH(" ",D158))),"• اسم المستخدم فيه مسافة ","")&amp;IF(AND(E158&lt;&gt;"",OR(ISERROR(SEARCH("@",E158)),ISERROR(SEARCH(".",E158)))),"• البريد غير صحيح ","")&amp;IF(AND(F158&lt;&gt;"",OR(LEN(F158)&lt;&gt;10,LEFT(F158,2)&lt;&gt;"05",ISERROR(--F158))),"• الجوال ليس بصيغة 05XXXXXXXX ","")&amp;IF(AND(L158&lt;&gt;"",OR(LEN(L158)&lt;2,LEN(L158)&gt;6,ISERROR(--L158),ISNUMBER(SEARCH(".",L158)))),"• التحويلة يجب أن تكون 2-6 أرقام ","")&amp;IF(AND(L158&lt;&gt;"",COUNTIF($L$6:$L$205,L158)&gt;1),"• التحويلة مكررة ","")&amp;IF(AND(M158="نعم",L158=""),"• يجري مكالمات بدون تحويلة ","")&amp;IF(AND(K158&lt;&gt;"",COUNTIF($D$6:$D$205,K158)=0),"• المشرف غير موجود في الجدول ","")&amp;IF(AND(J158="موظف تحصيل",K158=""),"• موظف التحصيل يحتاج مشرفاً ","")&amp;IF(AND(O158&lt;&gt;"",P158=""),"• نوع الهدف بدون قيمة ","")))</f>
        <v/>
      </c>
    </row>
    <row r="159">
      <c r="A159" s="17">
        <f>IF(COUNTA(B159:R159)=0,"",ROW()-5)</f>
        <v/>
      </c>
      <c r="B159" s="18" t="n"/>
      <c r="C159" s="18" t="n"/>
      <c r="D159" s="18" t="n"/>
      <c r="E159" s="18" t="n"/>
      <c r="F159" s="18" t="n"/>
      <c r="G159" s="18" t="n"/>
      <c r="H159" s="10" t="n"/>
      <c r="I159" s="10" t="n"/>
      <c r="J159" s="10" t="n"/>
      <c r="K159" s="10" t="n"/>
      <c r="L159" s="18" t="n"/>
      <c r="M159" s="10" t="n"/>
      <c r="N159" s="18" t="n"/>
      <c r="O159" s="10" t="n"/>
      <c r="P159" s="19" t="n"/>
      <c r="Q159" s="10" t="n"/>
      <c r="R159" s="18" t="n"/>
      <c r="S159" s="20">
        <f>IF(COUNTA(B159:R159)=0,"",IF((IF(((B159="")+(C159="")+(D159="")+(E159="")+(F159="")+(H159="")+(I159="")+(J159="")+(M159="")+(Q159=""))&gt;0,"• حقول إلزامية ناقصة ","")&amp;IF(AND(D159&lt;&gt;"",COUNTIF($D$6:$D$205,D159)&gt;1),"• اسم المستخدم مكرر ","")&amp;IF(AND(D159&lt;&gt;"",ISNUMBER(SEARCH(" ",D159))),"• اسم المستخدم فيه مسافة ","")&amp;IF(AND(E159&lt;&gt;"",OR(ISERROR(SEARCH("@",E159)),ISERROR(SEARCH(".",E159)))),"• البريد غير صحيح ","")&amp;IF(AND(F159&lt;&gt;"",OR(LEN(F159)&lt;&gt;10,LEFT(F159,2)&lt;&gt;"05",ISERROR(--F159))),"• الجوال ليس بصيغة 05XXXXXXXX ","")&amp;IF(AND(L159&lt;&gt;"",OR(LEN(L159)&lt;2,LEN(L159)&gt;6,ISERROR(--L159),ISNUMBER(SEARCH(".",L159)))),"• التحويلة يجب أن تكون 2-6 أرقام ","")&amp;IF(AND(L159&lt;&gt;"",COUNTIF($L$6:$L$205,L159)&gt;1),"• التحويلة مكررة ","")&amp;IF(AND(M159="نعم",L159=""),"• يجري مكالمات بدون تحويلة ","")&amp;IF(AND(K159&lt;&gt;"",COUNTIF($D$6:$D$205,K159)=0),"• المشرف غير موجود في الجدول ","")&amp;IF(AND(J159="موظف تحصيل",K159=""),"• موظف التحصيل يحتاج مشرفاً ","")&amp;IF(AND(O159&lt;&gt;"",P159=""),"• نوع الهدف بدون قيمة ",""))="","✔ مكتمل",IF(((B159="")+(C159="")+(D159="")+(E159="")+(F159="")+(H159="")+(I159="")+(J159="")+(M159="")+(Q159=""))&gt;0,"• حقول إلزامية ناقصة ","")&amp;IF(AND(D159&lt;&gt;"",COUNTIF($D$6:$D$205,D159)&gt;1),"• اسم المستخدم مكرر ","")&amp;IF(AND(D159&lt;&gt;"",ISNUMBER(SEARCH(" ",D159))),"• اسم المستخدم فيه مسافة ","")&amp;IF(AND(E159&lt;&gt;"",OR(ISERROR(SEARCH("@",E159)),ISERROR(SEARCH(".",E159)))),"• البريد غير صحيح ","")&amp;IF(AND(F159&lt;&gt;"",OR(LEN(F159)&lt;&gt;10,LEFT(F159,2)&lt;&gt;"05",ISERROR(--F159))),"• الجوال ليس بصيغة 05XXXXXXXX ","")&amp;IF(AND(L159&lt;&gt;"",OR(LEN(L159)&lt;2,LEN(L159)&gt;6,ISERROR(--L159),ISNUMBER(SEARCH(".",L159)))),"• التحويلة يجب أن تكون 2-6 أرقام ","")&amp;IF(AND(L159&lt;&gt;"",COUNTIF($L$6:$L$205,L159)&gt;1),"• التحويلة مكررة ","")&amp;IF(AND(M159="نعم",L159=""),"• يجري مكالمات بدون تحويلة ","")&amp;IF(AND(K159&lt;&gt;"",COUNTIF($D$6:$D$205,K159)=0),"• المشرف غير موجود في الجدول ","")&amp;IF(AND(J159="موظف تحصيل",K159=""),"• موظف التحصيل يحتاج مشرفاً ","")&amp;IF(AND(O159&lt;&gt;"",P159=""),"• نوع الهدف بدون قيمة ","")))</f>
        <v/>
      </c>
    </row>
    <row r="160">
      <c r="A160" s="17">
        <f>IF(COUNTA(B160:R160)=0,"",ROW()-5)</f>
        <v/>
      </c>
      <c r="B160" s="18" t="n"/>
      <c r="C160" s="18" t="n"/>
      <c r="D160" s="18" t="n"/>
      <c r="E160" s="18" t="n"/>
      <c r="F160" s="18" t="n"/>
      <c r="G160" s="18" t="n"/>
      <c r="H160" s="10" t="n"/>
      <c r="I160" s="10" t="n"/>
      <c r="J160" s="10" t="n"/>
      <c r="K160" s="10" t="n"/>
      <c r="L160" s="18" t="n"/>
      <c r="M160" s="10" t="n"/>
      <c r="N160" s="18" t="n"/>
      <c r="O160" s="10" t="n"/>
      <c r="P160" s="19" t="n"/>
      <c r="Q160" s="10" t="n"/>
      <c r="R160" s="18" t="n"/>
      <c r="S160" s="20">
        <f>IF(COUNTA(B160:R160)=0,"",IF((IF(((B160="")+(C160="")+(D160="")+(E160="")+(F160="")+(H160="")+(I160="")+(J160="")+(M160="")+(Q160=""))&gt;0,"• حقول إلزامية ناقصة ","")&amp;IF(AND(D160&lt;&gt;"",COUNTIF($D$6:$D$205,D160)&gt;1),"• اسم المستخدم مكرر ","")&amp;IF(AND(D160&lt;&gt;"",ISNUMBER(SEARCH(" ",D160))),"• اسم المستخدم فيه مسافة ","")&amp;IF(AND(E160&lt;&gt;"",OR(ISERROR(SEARCH("@",E160)),ISERROR(SEARCH(".",E160)))),"• البريد غير صحيح ","")&amp;IF(AND(F160&lt;&gt;"",OR(LEN(F160)&lt;&gt;10,LEFT(F160,2)&lt;&gt;"05",ISERROR(--F160))),"• الجوال ليس بصيغة 05XXXXXXXX ","")&amp;IF(AND(L160&lt;&gt;"",OR(LEN(L160)&lt;2,LEN(L160)&gt;6,ISERROR(--L160),ISNUMBER(SEARCH(".",L160)))),"• التحويلة يجب أن تكون 2-6 أرقام ","")&amp;IF(AND(L160&lt;&gt;"",COUNTIF($L$6:$L$205,L160)&gt;1),"• التحويلة مكررة ","")&amp;IF(AND(M160="نعم",L160=""),"• يجري مكالمات بدون تحويلة ","")&amp;IF(AND(K160&lt;&gt;"",COUNTIF($D$6:$D$205,K160)=0),"• المشرف غير موجود في الجدول ","")&amp;IF(AND(J160="موظف تحصيل",K160=""),"• موظف التحصيل يحتاج مشرفاً ","")&amp;IF(AND(O160&lt;&gt;"",P160=""),"• نوع الهدف بدون قيمة ",""))="","✔ مكتمل",IF(((B160="")+(C160="")+(D160="")+(E160="")+(F160="")+(H160="")+(I160="")+(J160="")+(M160="")+(Q160=""))&gt;0,"• حقول إلزامية ناقصة ","")&amp;IF(AND(D160&lt;&gt;"",COUNTIF($D$6:$D$205,D160)&gt;1),"• اسم المستخدم مكرر ","")&amp;IF(AND(D160&lt;&gt;"",ISNUMBER(SEARCH(" ",D160))),"• اسم المستخدم فيه مسافة ","")&amp;IF(AND(E160&lt;&gt;"",OR(ISERROR(SEARCH("@",E160)),ISERROR(SEARCH(".",E160)))),"• البريد غير صحيح ","")&amp;IF(AND(F160&lt;&gt;"",OR(LEN(F160)&lt;&gt;10,LEFT(F160,2)&lt;&gt;"05",ISERROR(--F160))),"• الجوال ليس بصيغة 05XXXXXXXX ","")&amp;IF(AND(L160&lt;&gt;"",OR(LEN(L160)&lt;2,LEN(L160)&gt;6,ISERROR(--L160),ISNUMBER(SEARCH(".",L160)))),"• التحويلة يجب أن تكون 2-6 أرقام ","")&amp;IF(AND(L160&lt;&gt;"",COUNTIF($L$6:$L$205,L160)&gt;1),"• التحويلة مكررة ","")&amp;IF(AND(M160="نعم",L160=""),"• يجري مكالمات بدون تحويلة ","")&amp;IF(AND(K160&lt;&gt;"",COUNTIF($D$6:$D$205,K160)=0),"• المشرف غير موجود في الجدول ","")&amp;IF(AND(J160="موظف تحصيل",K160=""),"• موظف التحصيل يحتاج مشرفاً ","")&amp;IF(AND(O160&lt;&gt;"",P160=""),"• نوع الهدف بدون قيمة ","")))</f>
        <v/>
      </c>
    </row>
    <row r="161">
      <c r="A161" s="17">
        <f>IF(COUNTA(B161:R161)=0,"",ROW()-5)</f>
        <v/>
      </c>
      <c r="B161" s="18" t="n"/>
      <c r="C161" s="18" t="n"/>
      <c r="D161" s="18" t="n"/>
      <c r="E161" s="18" t="n"/>
      <c r="F161" s="18" t="n"/>
      <c r="G161" s="18" t="n"/>
      <c r="H161" s="10" t="n"/>
      <c r="I161" s="10" t="n"/>
      <c r="J161" s="10" t="n"/>
      <c r="K161" s="10" t="n"/>
      <c r="L161" s="18" t="n"/>
      <c r="M161" s="10" t="n"/>
      <c r="N161" s="18" t="n"/>
      <c r="O161" s="10" t="n"/>
      <c r="P161" s="19" t="n"/>
      <c r="Q161" s="10" t="n"/>
      <c r="R161" s="18" t="n"/>
      <c r="S161" s="20">
        <f>IF(COUNTA(B161:R161)=0,"",IF((IF(((B161="")+(C161="")+(D161="")+(E161="")+(F161="")+(H161="")+(I161="")+(J161="")+(M161="")+(Q161=""))&gt;0,"• حقول إلزامية ناقصة ","")&amp;IF(AND(D161&lt;&gt;"",COUNTIF($D$6:$D$205,D161)&gt;1),"• اسم المستخدم مكرر ","")&amp;IF(AND(D161&lt;&gt;"",ISNUMBER(SEARCH(" ",D161))),"• اسم المستخدم فيه مسافة ","")&amp;IF(AND(E161&lt;&gt;"",OR(ISERROR(SEARCH("@",E161)),ISERROR(SEARCH(".",E161)))),"• البريد غير صحيح ","")&amp;IF(AND(F161&lt;&gt;"",OR(LEN(F161)&lt;&gt;10,LEFT(F161,2)&lt;&gt;"05",ISERROR(--F161))),"• الجوال ليس بصيغة 05XXXXXXXX ","")&amp;IF(AND(L161&lt;&gt;"",OR(LEN(L161)&lt;2,LEN(L161)&gt;6,ISERROR(--L161),ISNUMBER(SEARCH(".",L161)))),"• التحويلة يجب أن تكون 2-6 أرقام ","")&amp;IF(AND(L161&lt;&gt;"",COUNTIF($L$6:$L$205,L161)&gt;1),"• التحويلة مكررة ","")&amp;IF(AND(M161="نعم",L161=""),"• يجري مكالمات بدون تحويلة ","")&amp;IF(AND(K161&lt;&gt;"",COUNTIF($D$6:$D$205,K161)=0),"• المشرف غير موجود في الجدول ","")&amp;IF(AND(J161="موظف تحصيل",K161=""),"• موظف التحصيل يحتاج مشرفاً ","")&amp;IF(AND(O161&lt;&gt;"",P161=""),"• نوع الهدف بدون قيمة ",""))="","✔ مكتمل",IF(((B161="")+(C161="")+(D161="")+(E161="")+(F161="")+(H161="")+(I161="")+(J161="")+(M161="")+(Q161=""))&gt;0,"• حقول إلزامية ناقصة ","")&amp;IF(AND(D161&lt;&gt;"",COUNTIF($D$6:$D$205,D161)&gt;1),"• اسم المستخدم مكرر ","")&amp;IF(AND(D161&lt;&gt;"",ISNUMBER(SEARCH(" ",D161))),"• اسم المستخدم فيه مسافة ","")&amp;IF(AND(E161&lt;&gt;"",OR(ISERROR(SEARCH("@",E161)),ISERROR(SEARCH(".",E161)))),"• البريد غير صحيح ","")&amp;IF(AND(F161&lt;&gt;"",OR(LEN(F161)&lt;&gt;10,LEFT(F161,2)&lt;&gt;"05",ISERROR(--F161))),"• الجوال ليس بصيغة 05XXXXXXXX ","")&amp;IF(AND(L161&lt;&gt;"",OR(LEN(L161)&lt;2,LEN(L161)&gt;6,ISERROR(--L161),ISNUMBER(SEARCH(".",L161)))),"• التحويلة يجب أن تكون 2-6 أرقام ","")&amp;IF(AND(L161&lt;&gt;"",COUNTIF($L$6:$L$205,L161)&gt;1),"• التحويلة مكررة ","")&amp;IF(AND(M161="نعم",L161=""),"• يجري مكالمات بدون تحويلة ","")&amp;IF(AND(K161&lt;&gt;"",COUNTIF($D$6:$D$205,K161)=0),"• المشرف غير موجود في الجدول ","")&amp;IF(AND(J161="موظف تحصيل",K161=""),"• موظف التحصيل يحتاج مشرفاً ","")&amp;IF(AND(O161&lt;&gt;"",P161=""),"• نوع الهدف بدون قيمة ","")))</f>
        <v/>
      </c>
    </row>
    <row r="162">
      <c r="A162" s="17">
        <f>IF(COUNTA(B162:R162)=0,"",ROW()-5)</f>
        <v/>
      </c>
      <c r="B162" s="18" t="n"/>
      <c r="C162" s="18" t="n"/>
      <c r="D162" s="18" t="n"/>
      <c r="E162" s="18" t="n"/>
      <c r="F162" s="18" t="n"/>
      <c r="G162" s="18" t="n"/>
      <c r="H162" s="10" t="n"/>
      <c r="I162" s="10" t="n"/>
      <c r="J162" s="10" t="n"/>
      <c r="K162" s="10" t="n"/>
      <c r="L162" s="18" t="n"/>
      <c r="M162" s="10" t="n"/>
      <c r="N162" s="18" t="n"/>
      <c r="O162" s="10" t="n"/>
      <c r="P162" s="19" t="n"/>
      <c r="Q162" s="10" t="n"/>
      <c r="R162" s="18" t="n"/>
      <c r="S162" s="20">
        <f>IF(COUNTA(B162:R162)=0,"",IF((IF(((B162="")+(C162="")+(D162="")+(E162="")+(F162="")+(H162="")+(I162="")+(J162="")+(M162="")+(Q162=""))&gt;0,"• حقول إلزامية ناقصة ","")&amp;IF(AND(D162&lt;&gt;"",COUNTIF($D$6:$D$205,D162)&gt;1),"• اسم المستخدم مكرر ","")&amp;IF(AND(D162&lt;&gt;"",ISNUMBER(SEARCH(" ",D162))),"• اسم المستخدم فيه مسافة ","")&amp;IF(AND(E162&lt;&gt;"",OR(ISERROR(SEARCH("@",E162)),ISERROR(SEARCH(".",E162)))),"• البريد غير صحيح ","")&amp;IF(AND(F162&lt;&gt;"",OR(LEN(F162)&lt;&gt;10,LEFT(F162,2)&lt;&gt;"05",ISERROR(--F162))),"• الجوال ليس بصيغة 05XXXXXXXX ","")&amp;IF(AND(L162&lt;&gt;"",OR(LEN(L162)&lt;2,LEN(L162)&gt;6,ISERROR(--L162),ISNUMBER(SEARCH(".",L162)))),"• التحويلة يجب أن تكون 2-6 أرقام ","")&amp;IF(AND(L162&lt;&gt;"",COUNTIF($L$6:$L$205,L162)&gt;1),"• التحويلة مكررة ","")&amp;IF(AND(M162="نعم",L162=""),"• يجري مكالمات بدون تحويلة ","")&amp;IF(AND(K162&lt;&gt;"",COUNTIF($D$6:$D$205,K162)=0),"• المشرف غير موجود في الجدول ","")&amp;IF(AND(J162="موظف تحصيل",K162=""),"• موظف التحصيل يحتاج مشرفاً ","")&amp;IF(AND(O162&lt;&gt;"",P162=""),"• نوع الهدف بدون قيمة ",""))="","✔ مكتمل",IF(((B162="")+(C162="")+(D162="")+(E162="")+(F162="")+(H162="")+(I162="")+(J162="")+(M162="")+(Q162=""))&gt;0,"• حقول إلزامية ناقصة ","")&amp;IF(AND(D162&lt;&gt;"",COUNTIF($D$6:$D$205,D162)&gt;1),"• اسم المستخدم مكرر ","")&amp;IF(AND(D162&lt;&gt;"",ISNUMBER(SEARCH(" ",D162))),"• اسم المستخدم فيه مسافة ","")&amp;IF(AND(E162&lt;&gt;"",OR(ISERROR(SEARCH("@",E162)),ISERROR(SEARCH(".",E162)))),"• البريد غير صحيح ","")&amp;IF(AND(F162&lt;&gt;"",OR(LEN(F162)&lt;&gt;10,LEFT(F162,2)&lt;&gt;"05",ISERROR(--F162))),"• الجوال ليس بصيغة 05XXXXXXXX ","")&amp;IF(AND(L162&lt;&gt;"",OR(LEN(L162)&lt;2,LEN(L162)&gt;6,ISERROR(--L162),ISNUMBER(SEARCH(".",L162)))),"• التحويلة يجب أن تكون 2-6 أرقام ","")&amp;IF(AND(L162&lt;&gt;"",COUNTIF($L$6:$L$205,L162)&gt;1),"• التحويلة مكررة ","")&amp;IF(AND(M162="نعم",L162=""),"• يجري مكالمات بدون تحويلة ","")&amp;IF(AND(K162&lt;&gt;"",COUNTIF($D$6:$D$205,K162)=0),"• المشرف غير موجود في الجدول ","")&amp;IF(AND(J162="موظف تحصيل",K162=""),"• موظف التحصيل يحتاج مشرفاً ","")&amp;IF(AND(O162&lt;&gt;"",P162=""),"• نوع الهدف بدون قيمة ","")))</f>
        <v/>
      </c>
    </row>
    <row r="163">
      <c r="A163" s="17">
        <f>IF(COUNTA(B163:R163)=0,"",ROW()-5)</f>
        <v/>
      </c>
      <c r="B163" s="18" t="n"/>
      <c r="C163" s="18" t="n"/>
      <c r="D163" s="18" t="n"/>
      <c r="E163" s="18" t="n"/>
      <c r="F163" s="18" t="n"/>
      <c r="G163" s="18" t="n"/>
      <c r="H163" s="10" t="n"/>
      <c r="I163" s="10" t="n"/>
      <c r="J163" s="10" t="n"/>
      <c r="K163" s="10" t="n"/>
      <c r="L163" s="18" t="n"/>
      <c r="M163" s="10" t="n"/>
      <c r="N163" s="18" t="n"/>
      <c r="O163" s="10" t="n"/>
      <c r="P163" s="19" t="n"/>
      <c r="Q163" s="10" t="n"/>
      <c r="R163" s="18" t="n"/>
      <c r="S163" s="20">
        <f>IF(COUNTA(B163:R163)=0,"",IF((IF(((B163="")+(C163="")+(D163="")+(E163="")+(F163="")+(H163="")+(I163="")+(J163="")+(M163="")+(Q163=""))&gt;0,"• حقول إلزامية ناقصة ","")&amp;IF(AND(D163&lt;&gt;"",COUNTIF($D$6:$D$205,D163)&gt;1),"• اسم المستخدم مكرر ","")&amp;IF(AND(D163&lt;&gt;"",ISNUMBER(SEARCH(" ",D163))),"• اسم المستخدم فيه مسافة ","")&amp;IF(AND(E163&lt;&gt;"",OR(ISERROR(SEARCH("@",E163)),ISERROR(SEARCH(".",E163)))),"• البريد غير صحيح ","")&amp;IF(AND(F163&lt;&gt;"",OR(LEN(F163)&lt;&gt;10,LEFT(F163,2)&lt;&gt;"05",ISERROR(--F163))),"• الجوال ليس بصيغة 05XXXXXXXX ","")&amp;IF(AND(L163&lt;&gt;"",OR(LEN(L163)&lt;2,LEN(L163)&gt;6,ISERROR(--L163),ISNUMBER(SEARCH(".",L163)))),"• التحويلة يجب أن تكون 2-6 أرقام ","")&amp;IF(AND(L163&lt;&gt;"",COUNTIF($L$6:$L$205,L163)&gt;1),"• التحويلة مكررة ","")&amp;IF(AND(M163="نعم",L163=""),"• يجري مكالمات بدون تحويلة ","")&amp;IF(AND(K163&lt;&gt;"",COUNTIF($D$6:$D$205,K163)=0),"• المشرف غير موجود في الجدول ","")&amp;IF(AND(J163="موظف تحصيل",K163=""),"• موظف التحصيل يحتاج مشرفاً ","")&amp;IF(AND(O163&lt;&gt;"",P163=""),"• نوع الهدف بدون قيمة ",""))="","✔ مكتمل",IF(((B163="")+(C163="")+(D163="")+(E163="")+(F163="")+(H163="")+(I163="")+(J163="")+(M163="")+(Q163=""))&gt;0,"• حقول إلزامية ناقصة ","")&amp;IF(AND(D163&lt;&gt;"",COUNTIF($D$6:$D$205,D163)&gt;1),"• اسم المستخدم مكرر ","")&amp;IF(AND(D163&lt;&gt;"",ISNUMBER(SEARCH(" ",D163))),"• اسم المستخدم فيه مسافة ","")&amp;IF(AND(E163&lt;&gt;"",OR(ISERROR(SEARCH("@",E163)),ISERROR(SEARCH(".",E163)))),"• البريد غير صحيح ","")&amp;IF(AND(F163&lt;&gt;"",OR(LEN(F163)&lt;&gt;10,LEFT(F163,2)&lt;&gt;"05",ISERROR(--F163))),"• الجوال ليس بصيغة 05XXXXXXXX ","")&amp;IF(AND(L163&lt;&gt;"",OR(LEN(L163)&lt;2,LEN(L163)&gt;6,ISERROR(--L163),ISNUMBER(SEARCH(".",L163)))),"• التحويلة يجب أن تكون 2-6 أرقام ","")&amp;IF(AND(L163&lt;&gt;"",COUNTIF($L$6:$L$205,L163)&gt;1),"• التحويلة مكررة ","")&amp;IF(AND(M163="نعم",L163=""),"• يجري مكالمات بدون تحويلة ","")&amp;IF(AND(K163&lt;&gt;"",COUNTIF($D$6:$D$205,K163)=0),"• المشرف غير موجود في الجدول ","")&amp;IF(AND(J163="موظف تحصيل",K163=""),"• موظف التحصيل يحتاج مشرفاً ","")&amp;IF(AND(O163&lt;&gt;"",P163=""),"• نوع الهدف بدون قيمة ","")))</f>
        <v/>
      </c>
    </row>
    <row r="164">
      <c r="A164" s="17">
        <f>IF(COUNTA(B164:R164)=0,"",ROW()-5)</f>
        <v/>
      </c>
      <c r="B164" s="18" t="n"/>
      <c r="C164" s="18" t="n"/>
      <c r="D164" s="18" t="n"/>
      <c r="E164" s="18" t="n"/>
      <c r="F164" s="18" t="n"/>
      <c r="G164" s="18" t="n"/>
      <c r="H164" s="10" t="n"/>
      <c r="I164" s="10" t="n"/>
      <c r="J164" s="10" t="n"/>
      <c r="K164" s="10" t="n"/>
      <c r="L164" s="18" t="n"/>
      <c r="M164" s="10" t="n"/>
      <c r="N164" s="18" t="n"/>
      <c r="O164" s="10" t="n"/>
      <c r="P164" s="19" t="n"/>
      <c r="Q164" s="10" t="n"/>
      <c r="R164" s="18" t="n"/>
      <c r="S164" s="20">
        <f>IF(COUNTA(B164:R164)=0,"",IF((IF(((B164="")+(C164="")+(D164="")+(E164="")+(F164="")+(H164="")+(I164="")+(J164="")+(M164="")+(Q164=""))&gt;0,"• حقول إلزامية ناقصة ","")&amp;IF(AND(D164&lt;&gt;"",COUNTIF($D$6:$D$205,D164)&gt;1),"• اسم المستخدم مكرر ","")&amp;IF(AND(D164&lt;&gt;"",ISNUMBER(SEARCH(" ",D164))),"• اسم المستخدم فيه مسافة ","")&amp;IF(AND(E164&lt;&gt;"",OR(ISERROR(SEARCH("@",E164)),ISERROR(SEARCH(".",E164)))),"• البريد غير صحيح ","")&amp;IF(AND(F164&lt;&gt;"",OR(LEN(F164)&lt;&gt;10,LEFT(F164,2)&lt;&gt;"05",ISERROR(--F164))),"• الجوال ليس بصيغة 05XXXXXXXX ","")&amp;IF(AND(L164&lt;&gt;"",OR(LEN(L164)&lt;2,LEN(L164)&gt;6,ISERROR(--L164),ISNUMBER(SEARCH(".",L164)))),"• التحويلة يجب أن تكون 2-6 أرقام ","")&amp;IF(AND(L164&lt;&gt;"",COUNTIF($L$6:$L$205,L164)&gt;1),"• التحويلة مكررة ","")&amp;IF(AND(M164="نعم",L164=""),"• يجري مكالمات بدون تحويلة ","")&amp;IF(AND(K164&lt;&gt;"",COUNTIF($D$6:$D$205,K164)=0),"• المشرف غير موجود في الجدول ","")&amp;IF(AND(J164="موظف تحصيل",K164=""),"• موظف التحصيل يحتاج مشرفاً ","")&amp;IF(AND(O164&lt;&gt;"",P164=""),"• نوع الهدف بدون قيمة ",""))="","✔ مكتمل",IF(((B164="")+(C164="")+(D164="")+(E164="")+(F164="")+(H164="")+(I164="")+(J164="")+(M164="")+(Q164=""))&gt;0,"• حقول إلزامية ناقصة ","")&amp;IF(AND(D164&lt;&gt;"",COUNTIF($D$6:$D$205,D164)&gt;1),"• اسم المستخدم مكرر ","")&amp;IF(AND(D164&lt;&gt;"",ISNUMBER(SEARCH(" ",D164))),"• اسم المستخدم فيه مسافة ","")&amp;IF(AND(E164&lt;&gt;"",OR(ISERROR(SEARCH("@",E164)),ISERROR(SEARCH(".",E164)))),"• البريد غير صحيح ","")&amp;IF(AND(F164&lt;&gt;"",OR(LEN(F164)&lt;&gt;10,LEFT(F164,2)&lt;&gt;"05",ISERROR(--F164))),"• الجوال ليس بصيغة 05XXXXXXXX ","")&amp;IF(AND(L164&lt;&gt;"",OR(LEN(L164)&lt;2,LEN(L164)&gt;6,ISERROR(--L164),ISNUMBER(SEARCH(".",L164)))),"• التحويلة يجب أن تكون 2-6 أرقام ","")&amp;IF(AND(L164&lt;&gt;"",COUNTIF($L$6:$L$205,L164)&gt;1),"• التحويلة مكررة ","")&amp;IF(AND(M164="نعم",L164=""),"• يجري مكالمات بدون تحويلة ","")&amp;IF(AND(K164&lt;&gt;"",COUNTIF($D$6:$D$205,K164)=0),"• المشرف غير موجود في الجدول ","")&amp;IF(AND(J164="موظف تحصيل",K164=""),"• موظف التحصيل يحتاج مشرفاً ","")&amp;IF(AND(O164&lt;&gt;"",P164=""),"• نوع الهدف بدون قيمة ","")))</f>
        <v/>
      </c>
    </row>
    <row r="165">
      <c r="A165" s="17">
        <f>IF(COUNTA(B165:R165)=0,"",ROW()-5)</f>
        <v/>
      </c>
      <c r="B165" s="18" t="n"/>
      <c r="C165" s="18" t="n"/>
      <c r="D165" s="18" t="n"/>
      <c r="E165" s="18" t="n"/>
      <c r="F165" s="18" t="n"/>
      <c r="G165" s="18" t="n"/>
      <c r="H165" s="10" t="n"/>
      <c r="I165" s="10" t="n"/>
      <c r="J165" s="10" t="n"/>
      <c r="K165" s="10" t="n"/>
      <c r="L165" s="18" t="n"/>
      <c r="M165" s="10" t="n"/>
      <c r="N165" s="18" t="n"/>
      <c r="O165" s="10" t="n"/>
      <c r="P165" s="19" t="n"/>
      <c r="Q165" s="10" t="n"/>
      <c r="R165" s="18" t="n"/>
      <c r="S165" s="20">
        <f>IF(COUNTA(B165:R165)=0,"",IF((IF(((B165="")+(C165="")+(D165="")+(E165="")+(F165="")+(H165="")+(I165="")+(J165="")+(M165="")+(Q165=""))&gt;0,"• حقول إلزامية ناقصة ","")&amp;IF(AND(D165&lt;&gt;"",COUNTIF($D$6:$D$205,D165)&gt;1),"• اسم المستخدم مكرر ","")&amp;IF(AND(D165&lt;&gt;"",ISNUMBER(SEARCH(" ",D165))),"• اسم المستخدم فيه مسافة ","")&amp;IF(AND(E165&lt;&gt;"",OR(ISERROR(SEARCH("@",E165)),ISERROR(SEARCH(".",E165)))),"• البريد غير صحيح ","")&amp;IF(AND(F165&lt;&gt;"",OR(LEN(F165)&lt;&gt;10,LEFT(F165,2)&lt;&gt;"05",ISERROR(--F165))),"• الجوال ليس بصيغة 05XXXXXXXX ","")&amp;IF(AND(L165&lt;&gt;"",OR(LEN(L165)&lt;2,LEN(L165)&gt;6,ISERROR(--L165),ISNUMBER(SEARCH(".",L165)))),"• التحويلة يجب أن تكون 2-6 أرقام ","")&amp;IF(AND(L165&lt;&gt;"",COUNTIF($L$6:$L$205,L165)&gt;1),"• التحويلة مكررة ","")&amp;IF(AND(M165="نعم",L165=""),"• يجري مكالمات بدون تحويلة ","")&amp;IF(AND(K165&lt;&gt;"",COUNTIF($D$6:$D$205,K165)=0),"• المشرف غير موجود في الجدول ","")&amp;IF(AND(J165="موظف تحصيل",K165=""),"• موظف التحصيل يحتاج مشرفاً ","")&amp;IF(AND(O165&lt;&gt;"",P165=""),"• نوع الهدف بدون قيمة ",""))="","✔ مكتمل",IF(((B165="")+(C165="")+(D165="")+(E165="")+(F165="")+(H165="")+(I165="")+(J165="")+(M165="")+(Q165=""))&gt;0,"• حقول إلزامية ناقصة ","")&amp;IF(AND(D165&lt;&gt;"",COUNTIF($D$6:$D$205,D165)&gt;1),"• اسم المستخدم مكرر ","")&amp;IF(AND(D165&lt;&gt;"",ISNUMBER(SEARCH(" ",D165))),"• اسم المستخدم فيه مسافة ","")&amp;IF(AND(E165&lt;&gt;"",OR(ISERROR(SEARCH("@",E165)),ISERROR(SEARCH(".",E165)))),"• البريد غير صحيح ","")&amp;IF(AND(F165&lt;&gt;"",OR(LEN(F165)&lt;&gt;10,LEFT(F165,2)&lt;&gt;"05",ISERROR(--F165))),"• الجوال ليس بصيغة 05XXXXXXXX ","")&amp;IF(AND(L165&lt;&gt;"",OR(LEN(L165)&lt;2,LEN(L165)&gt;6,ISERROR(--L165),ISNUMBER(SEARCH(".",L165)))),"• التحويلة يجب أن تكون 2-6 أرقام ","")&amp;IF(AND(L165&lt;&gt;"",COUNTIF($L$6:$L$205,L165)&gt;1),"• التحويلة مكررة ","")&amp;IF(AND(M165="نعم",L165=""),"• يجري مكالمات بدون تحويلة ","")&amp;IF(AND(K165&lt;&gt;"",COUNTIF($D$6:$D$205,K165)=0),"• المشرف غير موجود في الجدول ","")&amp;IF(AND(J165="موظف تحصيل",K165=""),"• موظف التحصيل يحتاج مشرفاً ","")&amp;IF(AND(O165&lt;&gt;"",P165=""),"• نوع الهدف بدون قيمة ","")))</f>
        <v/>
      </c>
    </row>
    <row r="166">
      <c r="A166" s="17">
        <f>IF(COUNTA(B166:R166)=0,"",ROW()-5)</f>
        <v/>
      </c>
      <c r="B166" s="18" t="n"/>
      <c r="C166" s="18" t="n"/>
      <c r="D166" s="18" t="n"/>
      <c r="E166" s="18" t="n"/>
      <c r="F166" s="18" t="n"/>
      <c r="G166" s="18" t="n"/>
      <c r="H166" s="10" t="n"/>
      <c r="I166" s="10" t="n"/>
      <c r="J166" s="10" t="n"/>
      <c r="K166" s="10" t="n"/>
      <c r="L166" s="18" t="n"/>
      <c r="M166" s="10" t="n"/>
      <c r="N166" s="18" t="n"/>
      <c r="O166" s="10" t="n"/>
      <c r="P166" s="19" t="n"/>
      <c r="Q166" s="10" t="n"/>
      <c r="R166" s="18" t="n"/>
      <c r="S166" s="20">
        <f>IF(COUNTA(B166:R166)=0,"",IF((IF(((B166="")+(C166="")+(D166="")+(E166="")+(F166="")+(H166="")+(I166="")+(J166="")+(M166="")+(Q166=""))&gt;0,"• حقول إلزامية ناقصة ","")&amp;IF(AND(D166&lt;&gt;"",COUNTIF($D$6:$D$205,D166)&gt;1),"• اسم المستخدم مكرر ","")&amp;IF(AND(D166&lt;&gt;"",ISNUMBER(SEARCH(" ",D166))),"• اسم المستخدم فيه مسافة ","")&amp;IF(AND(E166&lt;&gt;"",OR(ISERROR(SEARCH("@",E166)),ISERROR(SEARCH(".",E166)))),"• البريد غير صحيح ","")&amp;IF(AND(F166&lt;&gt;"",OR(LEN(F166)&lt;&gt;10,LEFT(F166,2)&lt;&gt;"05",ISERROR(--F166))),"• الجوال ليس بصيغة 05XXXXXXXX ","")&amp;IF(AND(L166&lt;&gt;"",OR(LEN(L166)&lt;2,LEN(L166)&gt;6,ISERROR(--L166),ISNUMBER(SEARCH(".",L166)))),"• التحويلة يجب أن تكون 2-6 أرقام ","")&amp;IF(AND(L166&lt;&gt;"",COUNTIF($L$6:$L$205,L166)&gt;1),"• التحويلة مكررة ","")&amp;IF(AND(M166="نعم",L166=""),"• يجري مكالمات بدون تحويلة ","")&amp;IF(AND(K166&lt;&gt;"",COUNTIF($D$6:$D$205,K166)=0),"• المشرف غير موجود في الجدول ","")&amp;IF(AND(J166="موظف تحصيل",K166=""),"• موظف التحصيل يحتاج مشرفاً ","")&amp;IF(AND(O166&lt;&gt;"",P166=""),"• نوع الهدف بدون قيمة ",""))="","✔ مكتمل",IF(((B166="")+(C166="")+(D166="")+(E166="")+(F166="")+(H166="")+(I166="")+(J166="")+(M166="")+(Q166=""))&gt;0,"• حقول إلزامية ناقصة ","")&amp;IF(AND(D166&lt;&gt;"",COUNTIF($D$6:$D$205,D166)&gt;1),"• اسم المستخدم مكرر ","")&amp;IF(AND(D166&lt;&gt;"",ISNUMBER(SEARCH(" ",D166))),"• اسم المستخدم فيه مسافة ","")&amp;IF(AND(E166&lt;&gt;"",OR(ISERROR(SEARCH("@",E166)),ISERROR(SEARCH(".",E166)))),"• البريد غير صحيح ","")&amp;IF(AND(F166&lt;&gt;"",OR(LEN(F166)&lt;&gt;10,LEFT(F166,2)&lt;&gt;"05",ISERROR(--F166))),"• الجوال ليس بصيغة 05XXXXXXXX ","")&amp;IF(AND(L166&lt;&gt;"",OR(LEN(L166)&lt;2,LEN(L166)&gt;6,ISERROR(--L166),ISNUMBER(SEARCH(".",L166)))),"• التحويلة يجب أن تكون 2-6 أرقام ","")&amp;IF(AND(L166&lt;&gt;"",COUNTIF($L$6:$L$205,L166)&gt;1),"• التحويلة مكررة ","")&amp;IF(AND(M166="نعم",L166=""),"• يجري مكالمات بدون تحويلة ","")&amp;IF(AND(K166&lt;&gt;"",COUNTIF($D$6:$D$205,K166)=0),"• المشرف غير موجود في الجدول ","")&amp;IF(AND(J166="موظف تحصيل",K166=""),"• موظف التحصيل يحتاج مشرفاً ","")&amp;IF(AND(O166&lt;&gt;"",P166=""),"• نوع الهدف بدون قيمة ","")))</f>
        <v/>
      </c>
    </row>
    <row r="167">
      <c r="A167" s="17">
        <f>IF(COUNTA(B167:R167)=0,"",ROW()-5)</f>
        <v/>
      </c>
      <c r="B167" s="18" t="n"/>
      <c r="C167" s="18" t="n"/>
      <c r="D167" s="18" t="n"/>
      <c r="E167" s="18" t="n"/>
      <c r="F167" s="18" t="n"/>
      <c r="G167" s="18" t="n"/>
      <c r="H167" s="10" t="n"/>
      <c r="I167" s="10" t="n"/>
      <c r="J167" s="10" t="n"/>
      <c r="K167" s="10" t="n"/>
      <c r="L167" s="18" t="n"/>
      <c r="M167" s="10" t="n"/>
      <c r="N167" s="18" t="n"/>
      <c r="O167" s="10" t="n"/>
      <c r="P167" s="19" t="n"/>
      <c r="Q167" s="10" t="n"/>
      <c r="R167" s="18" t="n"/>
      <c r="S167" s="20">
        <f>IF(COUNTA(B167:R167)=0,"",IF((IF(((B167="")+(C167="")+(D167="")+(E167="")+(F167="")+(H167="")+(I167="")+(J167="")+(M167="")+(Q167=""))&gt;0,"• حقول إلزامية ناقصة ","")&amp;IF(AND(D167&lt;&gt;"",COUNTIF($D$6:$D$205,D167)&gt;1),"• اسم المستخدم مكرر ","")&amp;IF(AND(D167&lt;&gt;"",ISNUMBER(SEARCH(" ",D167))),"• اسم المستخدم فيه مسافة ","")&amp;IF(AND(E167&lt;&gt;"",OR(ISERROR(SEARCH("@",E167)),ISERROR(SEARCH(".",E167)))),"• البريد غير صحيح ","")&amp;IF(AND(F167&lt;&gt;"",OR(LEN(F167)&lt;&gt;10,LEFT(F167,2)&lt;&gt;"05",ISERROR(--F167))),"• الجوال ليس بصيغة 05XXXXXXXX ","")&amp;IF(AND(L167&lt;&gt;"",OR(LEN(L167)&lt;2,LEN(L167)&gt;6,ISERROR(--L167),ISNUMBER(SEARCH(".",L167)))),"• التحويلة يجب أن تكون 2-6 أرقام ","")&amp;IF(AND(L167&lt;&gt;"",COUNTIF($L$6:$L$205,L167)&gt;1),"• التحويلة مكررة ","")&amp;IF(AND(M167="نعم",L167=""),"• يجري مكالمات بدون تحويلة ","")&amp;IF(AND(K167&lt;&gt;"",COUNTIF($D$6:$D$205,K167)=0),"• المشرف غير موجود في الجدول ","")&amp;IF(AND(J167="موظف تحصيل",K167=""),"• موظف التحصيل يحتاج مشرفاً ","")&amp;IF(AND(O167&lt;&gt;"",P167=""),"• نوع الهدف بدون قيمة ",""))="","✔ مكتمل",IF(((B167="")+(C167="")+(D167="")+(E167="")+(F167="")+(H167="")+(I167="")+(J167="")+(M167="")+(Q167=""))&gt;0,"• حقول إلزامية ناقصة ","")&amp;IF(AND(D167&lt;&gt;"",COUNTIF($D$6:$D$205,D167)&gt;1),"• اسم المستخدم مكرر ","")&amp;IF(AND(D167&lt;&gt;"",ISNUMBER(SEARCH(" ",D167))),"• اسم المستخدم فيه مسافة ","")&amp;IF(AND(E167&lt;&gt;"",OR(ISERROR(SEARCH("@",E167)),ISERROR(SEARCH(".",E167)))),"• البريد غير صحيح ","")&amp;IF(AND(F167&lt;&gt;"",OR(LEN(F167)&lt;&gt;10,LEFT(F167,2)&lt;&gt;"05",ISERROR(--F167))),"• الجوال ليس بصيغة 05XXXXXXXX ","")&amp;IF(AND(L167&lt;&gt;"",OR(LEN(L167)&lt;2,LEN(L167)&gt;6,ISERROR(--L167),ISNUMBER(SEARCH(".",L167)))),"• التحويلة يجب أن تكون 2-6 أرقام ","")&amp;IF(AND(L167&lt;&gt;"",COUNTIF($L$6:$L$205,L167)&gt;1),"• التحويلة مكررة ","")&amp;IF(AND(M167="نعم",L167=""),"• يجري مكالمات بدون تحويلة ","")&amp;IF(AND(K167&lt;&gt;"",COUNTIF($D$6:$D$205,K167)=0),"• المشرف غير موجود في الجدول ","")&amp;IF(AND(J167="موظف تحصيل",K167=""),"• موظف التحصيل يحتاج مشرفاً ","")&amp;IF(AND(O167&lt;&gt;"",P167=""),"• نوع الهدف بدون قيمة ","")))</f>
        <v/>
      </c>
    </row>
    <row r="168">
      <c r="A168" s="17">
        <f>IF(COUNTA(B168:R168)=0,"",ROW()-5)</f>
        <v/>
      </c>
      <c r="B168" s="18" t="n"/>
      <c r="C168" s="18" t="n"/>
      <c r="D168" s="18" t="n"/>
      <c r="E168" s="18" t="n"/>
      <c r="F168" s="18" t="n"/>
      <c r="G168" s="18" t="n"/>
      <c r="H168" s="10" t="n"/>
      <c r="I168" s="10" t="n"/>
      <c r="J168" s="10" t="n"/>
      <c r="K168" s="10" t="n"/>
      <c r="L168" s="18" t="n"/>
      <c r="M168" s="10" t="n"/>
      <c r="N168" s="18" t="n"/>
      <c r="O168" s="10" t="n"/>
      <c r="P168" s="19" t="n"/>
      <c r="Q168" s="10" t="n"/>
      <c r="R168" s="18" t="n"/>
      <c r="S168" s="20">
        <f>IF(COUNTA(B168:R168)=0,"",IF((IF(((B168="")+(C168="")+(D168="")+(E168="")+(F168="")+(H168="")+(I168="")+(J168="")+(M168="")+(Q168=""))&gt;0,"• حقول إلزامية ناقصة ","")&amp;IF(AND(D168&lt;&gt;"",COUNTIF($D$6:$D$205,D168)&gt;1),"• اسم المستخدم مكرر ","")&amp;IF(AND(D168&lt;&gt;"",ISNUMBER(SEARCH(" ",D168))),"• اسم المستخدم فيه مسافة ","")&amp;IF(AND(E168&lt;&gt;"",OR(ISERROR(SEARCH("@",E168)),ISERROR(SEARCH(".",E168)))),"• البريد غير صحيح ","")&amp;IF(AND(F168&lt;&gt;"",OR(LEN(F168)&lt;&gt;10,LEFT(F168,2)&lt;&gt;"05",ISERROR(--F168))),"• الجوال ليس بصيغة 05XXXXXXXX ","")&amp;IF(AND(L168&lt;&gt;"",OR(LEN(L168)&lt;2,LEN(L168)&gt;6,ISERROR(--L168),ISNUMBER(SEARCH(".",L168)))),"• التحويلة يجب أن تكون 2-6 أرقام ","")&amp;IF(AND(L168&lt;&gt;"",COUNTIF($L$6:$L$205,L168)&gt;1),"• التحويلة مكررة ","")&amp;IF(AND(M168="نعم",L168=""),"• يجري مكالمات بدون تحويلة ","")&amp;IF(AND(K168&lt;&gt;"",COUNTIF($D$6:$D$205,K168)=0),"• المشرف غير موجود في الجدول ","")&amp;IF(AND(J168="موظف تحصيل",K168=""),"• موظف التحصيل يحتاج مشرفاً ","")&amp;IF(AND(O168&lt;&gt;"",P168=""),"• نوع الهدف بدون قيمة ",""))="","✔ مكتمل",IF(((B168="")+(C168="")+(D168="")+(E168="")+(F168="")+(H168="")+(I168="")+(J168="")+(M168="")+(Q168=""))&gt;0,"• حقول إلزامية ناقصة ","")&amp;IF(AND(D168&lt;&gt;"",COUNTIF($D$6:$D$205,D168)&gt;1),"• اسم المستخدم مكرر ","")&amp;IF(AND(D168&lt;&gt;"",ISNUMBER(SEARCH(" ",D168))),"• اسم المستخدم فيه مسافة ","")&amp;IF(AND(E168&lt;&gt;"",OR(ISERROR(SEARCH("@",E168)),ISERROR(SEARCH(".",E168)))),"• البريد غير صحيح ","")&amp;IF(AND(F168&lt;&gt;"",OR(LEN(F168)&lt;&gt;10,LEFT(F168,2)&lt;&gt;"05",ISERROR(--F168))),"• الجوال ليس بصيغة 05XXXXXXXX ","")&amp;IF(AND(L168&lt;&gt;"",OR(LEN(L168)&lt;2,LEN(L168)&gt;6,ISERROR(--L168),ISNUMBER(SEARCH(".",L168)))),"• التحويلة يجب أن تكون 2-6 أرقام ","")&amp;IF(AND(L168&lt;&gt;"",COUNTIF($L$6:$L$205,L168)&gt;1),"• التحويلة مكررة ","")&amp;IF(AND(M168="نعم",L168=""),"• يجري مكالمات بدون تحويلة ","")&amp;IF(AND(K168&lt;&gt;"",COUNTIF($D$6:$D$205,K168)=0),"• المشرف غير موجود في الجدول ","")&amp;IF(AND(J168="موظف تحصيل",K168=""),"• موظف التحصيل يحتاج مشرفاً ","")&amp;IF(AND(O168&lt;&gt;"",P168=""),"• نوع الهدف بدون قيمة ","")))</f>
        <v/>
      </c>
    </row>
    <row r="169">
      <c r="A169" s="17">
        <f>IF(COUNTA(B169:R169)=0,"",ROW()-5)</f>
        <v/>
      </c>
      <c r="B169" s="18" t="n"/>
      <c r="C169" s="18" t="n"/>
      <c r="D169" s="18" t="n"/>
      <c r="E169" s="18" t="n"/>
      <c r="F169" s="18" t="n"/>
      <c r="G169" s="18" t="n"/>
      <c r="H169" s="10" t="n"/>
      <c r="I169" s="10" t="n"/>
      <c r="J169" s="10" t="n"/>
      <c r="K169" s="10" t="n"/>
      <c r="L169" s="18" t="n"/>
      <c r="M169" s="10" t="n"/>
      <c r="N169" s="18" t="n"/>
      <c r="O169" s="10" t="n"/>
      <c r="P169" s="19" t="n"/>
      <c r="Q169" s="10" t="n"/>
      <c r="R169" s="18" t="n"/>
      <c r="S169" s="20">
        <f>IF(COUNTA(B169:R169)=0,"",IF((IF(((B169="")+(C169="")+(D169="")+(E169="")+(F169="")+(H169="")+(I169="")+(J169="")+(M169="")+(Q169=""))&gt;0,"• حقول إلزامية ناقصة ","")&amp;IF(AND(D169&lt;&gt;"",COUNTIF($D$6:$D$205,D169)&gt;1),"• اسم المستخدم مكرر ","")&amp;IF(AND(D169&lt;&gt;"",ISNUMBER(SEARCH(" ",D169))),"• اسم المستخدم فيه مسافة ","")&amp;IF(AND(E169&lt;&gt;"",OR(ISERROR(SEARCH("@",E169)),ISERROR(SEARCH(".",E169)))),"• البريد غير صحيح ","")&amp;IF(AND(F169&lt;&gt;"",OR(LEN(F169)&lt;&gt;10,LEFT(F169,2)&lt;&gt;"05",ISERROR(--F169))),"• الجوال ليس بصيغة 05XXXXXXXX ","")&amp;IF(AND(L169&lt;&gt;"",OR(LEN(L169)&lt;2,LEN(L169)&gt;6,ISERROR(--L169),ISNUMBER(SEARCH(".",L169)))),"• التحويلة يجب أن تكون 2-6 أرقام ","")&amp;IF(AND(L169&lt;&gt;"",COUNTIF($L$6:$L$205,L169)&gt;1),"• التحويلة مكررة ","")&amp;IF(AND(M169="نعم",L169=""),"• يجري مكالمات بدون تحويلة ","")&amp;IF(AND(K169&lt;&gt;"",COUNTIF($D$6:$D$205,K169)=0),"• المشرف غير موجود في الجدول ","")&amp;IF(AND(J169="موظف تحصيل",K169=""),"• موظف التحصيل يحتاج مشرفاً ","")&amp;IF(AND(O169&lt;&gt;"",P169=""),"• نوع الهدف بدون قيمة ",""))="","✔ مكتمل",IF(((B169="")+(C169="")+(D169="")+(E169="")+(F169="")+(H169="")+(I169="")+(J169="")+(M169="")+(Q169=""))&gt;0,"• حقول إلزامية ناقصة ","")&amp;IF(AND(D169&lt;&gt;"",COUNTIF($D$6:$D$205,D169)&gt;1),"• اسم المستخدم مكرر ","")&amp;IF(AND(D169&lt;&gt;"",ISNUMBER(SEARCH(" ",D169))),"• اسم المستخدم فيه مسافة ","")&amp;IF(AND(E169&lt;&gt;"",OR(ISERROR(SEARCH("@",E169)),ISERROR(SEARCH(".",E169)))),"• البريد غير صحيح ","")&amp;IF(AND(F169&lt;&gt;"",OR(LEN(F169)&lt;&gt;10,LEFT(F169,2)&lt;&gt;"05",ISERROR(--F169))),"• الجوال ليس بصيغة 05XXXXXXXX ","")&amp;IF(AND(L169&lt;&gt;"",OR(LEN(L169)&lt;2,LEN(L169)&gt;6,ISERROR(--L169),ISNUMBER(SEARCH(".",L169)))),"• التحويلة يجب أن تكون 2-6 أرقام ","")&amp;IF(AND(L169&lt;&gt;"",COUNTIF($L$6:$L$205,L169)&gt;1),"• التحويلة مكررة ","")&amp;IF(AND(M169="نعم",L169=""),"• يجري مكالمات بدون تحويلة ","")&amp;IF(AND(K169&lt;&gt;"",COUNTIF($D$6:$D$205,K169)=0),"• المشرف غير موجود في الجدول ","")&amp;IF(AND(J169="موظف تحصيل",K169=""),"• موظف التحصيل يحتاج مشرفاً ","")&amp;IF(AND(O169&lt;&gt;"",P169=""),"• نوع الهدف بدون قيمة ","")))</f>
        <v/>
      </c>
    </row>
    <row r="170">
      <c r="A170" s="17">
        <f>IF(COUNTA(B170:R170)=0,"",ROW()-5)</f>
        <v/>
      </c>
      <c r="B170" s="18" t="n"/>
      <c r="C170" s="18" t="n"/>
      <c r="D170" s="18" t="n"/>
      <c r="E170" s="18" t="n"/>
      <c r="F170" s="18" t="n"/>
      <c r="G170" s="18" t="n"/>
      <c r="H170" s="10" t="n"/>
      <c r="I170" s="10" t="n"/>
      <c r="J170" s="10" t="n"/>
      <c r="K170" s="10" t="n"/>
      <c r="L170" s="18" t="n"/>
      <c r="M170" s="10" t="n"/>
      <c r="N170" s="18" t="n"/>
      <c r="O170" s="10" t="n"/>
      <c r="P170" s="19" t="n"/>
      <c r="Q170" s="10" t="n"/>
      <c r="R170" s="18" t="n"/>
      <c r="S170" s="20">
        <f>IF(COUNTA(B170:R170)=0,"",IF((IF(((B170="")+(C170="")+(D170="")+(E170="")+(F170="")+(H170="")+(I170="")+(J170="")+(M170="")+(Q170=""))&gt;0,"• حقول إلزامية ناقصة ","")&amp;IF(AND(D170&lt;&gt;"",COUNTIF($D$6:$D$205,D170)&gt;1),"• اسم المستخدم مكرر ","")&amp;IF(AND(D170&lt;&gt;"",ISNUMBER(SEARCH(" ",D170))),"• اسم المستخدم فيه مسافة ","")&amp;IF(AND(E170&lt;&gt;"",OR(ISERROR(SEARCH("@",E170)),ISERROR(SEARCH(".",E170)))),"• البريد غير صحيح ","")&amp;IF(AND(F170&lt;&gt;"",OR(LEN(F170)&lt;&gt;10,LEFT(F170,2)&lt;&gt;"05",ISERROR(--F170))),"• الجوال ليس بصيغة 05XXXXXXXX ","")&amp;IF(AND(L170&lt;&gt;"",OR(LEN(L170)&lt;2,LEN(L170)&gt;6,ISERROR(--L170),ISNUMBER(SEARCH(".",L170)))),"• التحويلة يجب أن تكون 2-6 أرقام ","")&amp;IF(AND(L170&lt;&gt;"",COUNTIF($L$6:$L$205,L170)&gt;1),"• التحويلة مكررة ","")&amp;IF(AND(M170="نعم",L170=""),"• يجري مكالمات بدون تحويلة ","")&amp;IF(AND(K170&lt;&gt;"",COUNTIF($D$6:$D$205,K170)=0),"• المشرف غير موجود في الجدول ","")&amp;IF(AND(J170="موظف تحصيل",K170=""),"• موظف التحصيل يحتاج مشرفاً ","")&amp;IF(AND(O170&lt;&gt;"",P170=""),"• نوع الهدف بدون قيمة ",""))="","✔ مكتمل",IF(((B170="")+(C170="")+(D170="")+(E170="")+(F170="")+(H170="")+(I170="")+(J170="")+(M170="")+(Q170=""))&gt;0,"• حقول إلزامية ناقصة ","")&amp;IF(AND(D170&lt;&gt;"",COUNTIF($D$6:$D$205,D170)&gt;1),"• اسم المستخدم مكرر ","")&amp;IF(AND(D170&lt;&gt;"",ISNUMBER(SEARCH(" ",D170))),"• اسم المستخدم فيه مسافة ","")&amp;IF(AND(E170&lt;&gt;"",OR(ISERROR(SEARCH("@",E170)),ISERROR(SEARCH(".",E170)))),"• البريد غير صحيح ","")&amp;IF(AND(F170&lt;&gt;"",OR(LEN(F170)&lt;&gt;10,LEFT(F170,2)&lt;&gt;"05",ISERROR(--F170))),"• الجوال ليس بصيغة 05XXXXXXXX ","")&amp;IF(AND(L170&lt;&gt;"",OR(LEN(L170)&lt;2,LEN(L170)&gt;6,ISERROR(--L170),ISNUMBER(SEARCH(".",L170)))),"• التحويلة يجب أن تكون 2-6 أرقام ","")&amp;IF(AND(L170&lt;&gt;"",COUNTIF($L$6:$L$205,L170)&gt;1),"• التحويلة مكررة ","")&amp;IF(AND(M170="نعم",L170=""),"• يجري مكالمات بدون تحويلة ","")&amp;IF(AND(K170&lt;&gt;"",COUNTIF($D$6:$D$205,K170)=0),"• المشرف غير موجود في الجدول ","")&amp;IF(AND(J170="موظف تحصيل",K170=""),"• موظف التحصيل يحتاج مشرفاً ","")&amp;IF(AND(O170&lt;&gt;"",P170=""),"• نوع الهدف بدون قيمة ","")))</f>
        <v/>
      </c>
    </row>
    <row r="171">
      <c r="A171" s="17">
        <f>IF(COUNTA(B171:R171)=0,"",ROW()-5)</f>
        <v/>
      </c>
      <c r="B171" s="18" t="n"/>
      <c r="C171" s="18" t="n"/>
      <c r="D171" s="18" t="n"/>
      <c r="E171" s="18" t="n"/>
      <c r="F171" s="18" t="n"/>
      <c r="G171" s="18" t="n"/>
      <c r="H171" s="10" t="n"/>
      <c r="I171" s="10" t="n"/>
      <c r="J171" s="10" t="n"/>
      <c r="K171" s="10" t="n"/>
      <c r="L171" s="18" t="n"/>
      <c r="M171" s="10" t="n"/>
      <c r="N171" s="18" t="n"/>
      <c r="O171" s="10" t="n"/>
      <c r="P171" s="19" t="n"/>
      <c r="Q171" s="10" t="n"/>
      <c r="R171" s="18" t="n"/>
      <c r="S171" s="20">
        <f>IF(COUNTA(B171:R171)=0,"",IF((IF(((B171="")+(C171="")+(D171="")+(E171="")+(F171="")+(H171="")+(I171="")+(J171="")+(M171="")+(Q171=""))&gt;0,"• حقول إلزامية ناقصة ","")&amp;IF(AND(D171&lt;&gt;"",COUNTIF($D$6:$D$205,D171)&gt;1),"• اسم المستخدم مكرر ","")&amp;IF(AND(D171&lt;&gt;"",ISNUMBER(SEARCH(" ",D171))),"• اسم المستخدم فيه مسافة ","")&amp;IF(AND(E171&lt;&gt;"",OR(ISERROR(SEARCH("@",E171)),ISERROR(SEARCH(".",E171)))),"• البريد غير صحيح ","")&amp;IF(AND(F171&lt;&gt;"",OR(LEN(F171)&lt;&gt;10,LEFT(F171,2)&lt;&gt;"05",ISERROR(--F171))),"• الجوال ليس بصيغة 05XXXXXXXX ","")&amp;IF(AND(L171&lt;&gt;"",OR(LEN(L171)&lt;2,LEN(L171)&gt;6,ISERROR(--L171),ISNUMBER(SEARCH(".",L171)))),"• التحويلة يجب أن تكون 2-6 أرقام ","")&amp;IF(AND(L171&lt;&gt;"",COUNTIF($L$6:$L$205,L171)&gt;1),"• التحويلة مكررة ","")&amp;IF(AND(M171="نعم",L171=""),"• يجري مكالمات بدون تحويلة ","")&amp;IF(AND(K171&lt;&gt;"",COUNTIF($D$6:$D$205,K171)=0),"• المشرف غير موجود في الجدول ","")&amp;IF(AND(J171="موظف تحصيل",K171=""),"• موظف التحصيل يحتاج مشرفاً ","")&amp;IF(AND(O171&lt;&gt;"",P171=""),"• نوع الهدف بدون قيمة ",""))="","✔ مكتمل",IF(((B171="")+(C171="")+(D171="")+(E171="")+(F171="")+(H171="")+(I171="")+(J171="")+(M171="")+(Q171=""))&gt;0,"• حقول إلزامية ناقصة ","")&amp;IF(AND(D171&lt;&gt;"",COUNTIF($D$6:$D$205,D171)&gt;1),"• اسم المستخدم مكرر ","")&amp;IF(AND(D171&lt;&gt;"",ISNUMBER(SEARCH(" ",D171))),"• اسم المستخدم فيه مسافة ","")&amp;IF(AND(E171&lt;&gt;"",OR(ISERROR(SEARCH("@",E171)),ISERROR(SEARCH(".",E171)))),"• البريد غير صحيح ","")&amp;IF(AND(F171&lt;&gt;"",OR(LEN(F171)&lt;&gt;10,LEFT(F171,2)&lt;&gt;"05",ISERROR(--F171))),"• الجوال ليس بصيغة 05XXXXXXXX ","")&amp;IF(AND(L171&lt;&gt;"",OR(LEN(L171)&lt;2,LEN(L171)&gt;6,ISERROR(--L171),ISNUMBER(SEARCH(".",L171)))),"• التحويلة يجب أن تكون 2-6 أرقام ","")&amp;IF(AND(L171&lt;&gt;"",COUNTIF($L$6:$L$205,L171)&gt;1),"• التحويلة مكررة ","")&amp;IF(AND(M171="نعم",L171=""),"• يجري مكالمات بدون تحويلة ","")&amp;IF(AND(K171&lt;&gt;"",COUNTIF($D$6:$D$205,K171)=0),"• المشرف غير موجود في الجدول ","")&amp;IF(AND(J171="موظف تحصيل",K171=""),"• موظف التحصيل يحتاج مشرفاً ","")&amp;IF(AND(O171&lt;&gt;"",P171=""),"• نوع الهدف بدون قيمة ","")))</f>
        <v/>
      </c>
    </row>
    <row r="172">
      <c r="A172" s="17">
        <f>IF(COUNTA(B172:R172)=0,"",ROW()-5)</f>
        <v/>
      </c>
      <c r="B172" s="18" t="n"/>
      <c r="C172" s="18" t="n"/>
      <c r="D172" s="18" t="n"/>
      <c r="E172" s="18" t="n"/>
      <c r="F172" s="18" t="n"/>
      <c r="G172" s="18" t="n"/>
      <c r="H172" s="10" t="n"/>
      <c r="I172" s="10" t="n"/>
      <c r="J172" s="10" t="n"/>
      <c r="K172" s="10" t="n"/>
      <c r="L172" s="18" t="n"/>
      <c r="M172" s="10" t="n"/>
      <c r="N172" s="18" t="n"/>
      <c r="O172" s="10" t="n"/>
      <c r="P172" s="19" t="n"/>
      <c r="Q172" s="10" t="n"/>
      <c r="R172" s="18" t="n"/>
      <c r="S172" s="20">
        <f>IF(COUNTA(B172:R172)=0,"",IF((IF(((B172="")+(C172="")+(D172="")+(E172="")+(F172="")+(H172="")+(I172="")+(J172="")+(M172="")+(Q172=""))&gt;0,"• حقول إلزامية ناقصة ","")&amp;IF(AND(D172&lt;&gt;"",COUNTIF($D$6:$D$205,D172)&gt;1),"• اسم المستخدم مكرر ","")&amp;IF(AND(D172&lt;&gt;"",ISNUMBER(SEARCH(" ",D172))),"• اسم المستخدم فيه مسافة ","")&amp;IF(AND(E172&lt;&gt;"",OR(ISERROR(SEARCH("@",E172)),ISERROR(SEARCH(".",E172)))),"• البريد غير صحيح ","")&amp;IF(AND(F172&lt;&gt;"",OR(LEN(F172)&lt;&gt;10,LEFT(F172,2)&lt;&gt;"05",ISERROR(--F172))),"• الجوال ليس بصيغة 05XXXXXXXX ","")&amp;IF(AND(L172&lt;&gt;"",OR(LEN(L172)&lt;2,LEN(L172)&gt;6,ISERROR(--L172),ISNUMBER(SEARCH(".",L172)))),"• التحويلة يجب أن تكون 2-6 أرقام ","")&amp;IF(AND(L172&lt;&gt;"",COUNTIF($L$6:$L$205,L172)&gt;1),"• التحويلة مكررة ","")&amp;IF(AND(M172="نعم",L172=""),"• يجري مكالمات بدون تحويلة ","")&amp;IF(AND(K172&lt;&gt;"",COUNTIF($D$6:$D$205,K172)=0),"• المشرف غير موجود في الجدول ","")&amp;IF(AND(J172="موظف تحصيل",K172=""),"• موظف التحصيل يحتاج مشرفاً ","")&amp;IF(AND(O172&lt;&gt;"",P172=""),"• نوع الهدف بدون قيمة ",""))="","✔ مكتمل",IF(((B172="")+(C172="")+(D172="")+(E172="")+(F172="")+(H172="")+(I172="")+(J172="")+(M172="")+(Q172=""))&gt;0,"• حقول إلزامية ناقصة ","")&amp;IF(AND(D172&lt;&gt;"",COUNTIF($D$6:$D$205,D172)&gt;1),"• اسم المستخدم مكرر ","")&amp;IF(AND(D172&lt;&gt;"",ISNUMBER(SEARCH(" ",D172))),"• اسم المستخدم فيه مسافة ","")&amp;IF(AND(E172&lt;&gt;"",OR(ISERROR(SEARCH("@",E172)),ISERROR(SEARCH(".",E172)))),"• البريد غير صحيح ","")&amp;IF(AND(F172&lt;&gt;"",OR(LEN(F172)&lt;&gt;10,LEFT(F172,2)&lt;&gt;"05",ISERROR(--F172))),"• الجوال ليس بصيغة 05XXXXXXXX ","")&amp;IF(AND(L172&lt;&gt;"",OR(LEN(L172)&lt;2,LEN(L172)&gt;6,ISERROR(--L172),ISNUMBER(SEARCH(".",L172)))),"• التحويلة يجب أن تكون 2-6 أرقام ","")&amp;IF(AND(L172&lt;&gt;"",COUNTIF($L$6:$L$205,L172)&gt;1),"• التحويلة مكررة ","")&amp;IF(AND(M172="نعم",L172=""),"• يجري مكالمات بدون تحويلة ","")&amp;IF(AND(K172&lt;&gt;"",COUNTIF($D$6:$D$205,K172)=0),"• المشرف غير موجود في الجدول ","")&amp;IF(AND(J172="موظف تحصيل",K172=""),"• موظف التحصيل يحتاج مشرفاً ","")&amp;IF(AND(O172&lt;&gt;"",P172=""),"• نوع الهدف بدون قيمة ","")))</f>
        <v/>
      </c>
    </row>
    <row r="173">
      <c r="A173" s="17">
        <f>IF(COUNTA(B173:R173)=0,"",ROW()-5)</f>
        <v/>
      </c>
      <c r="B173" s="18" t="n"/>
      <c r="C173" s="18" t="n"/>
      <c r="D173" s="18" t="n"/>
      <c r="E173" s="18" t="n"/>
      <c r="F173" s="18" t="n"/>
      <c r="G173" s="18" t="n"/>
      <c r="H173" s="10" t="n"/>
      <c r="I173" s="10" t="n"/>
      <c r="J173" s="10" t="n"/>
      <c r="K173" s="10" t="n"/>
      <c r="L173" s="18" t="n"/>
      <c r="M173" s="10" t="n"/>
      <c r="N173" s="18" t="n"/>
      <c r="O173" s="10" t="n"/>
      <c r="P173" s="19" t="n"/>
      <c r="Q173" s="10" t="n"/>
      <c r="R173" s="18" t="n"/>
      <c r="S173" s="20">
        <f>IF(COUNTA(B173:R173)=0,"",IF((IF(((B173="")+(C173="")+(D173="")+(E173="")+(F173="")+(H173="")+(I173="")+(J173="")+(M173="")+(Q173=""))&gt;0,"• حقول إلزامية ناقصة ","")&amp;IF(AND(D173&lt;&gt;"",COUNTIF($D$6:$D$205,D173)&gt;1),"• اسم المستخدم مكرر ","")&amp;IF(AND(D173&lt;&gt;"",ISNUMBER(SEARCH(" ",D173))),"• اسم المستخدم فيه مسافة ","")&amp;IF(AND(E173&lt;&gt;"",OR(ISERROR(SEARCH("@",E173)),ISERROR(SEARCH(".",E173)))),"• البريد غير صحيح ","")&amp;IF(AND(F173&lt;&gt;"",OR(LEN(F173)&lt;&gt;10,LEFT(F173,2)&lt;&gt;"05",ISERROR(--F173))),"• الجوال ليس بصيغة 05XXXXXXXX ","")&amp;IF(AND(L173&lt;&gt;"",OR(LEN(L173)&lt;2,LEN(L173)&gt;6,ISERROR(--L173),ISNUMBER(SEARCH(".",L173)))),"• التحويلة يجب أن تكون 2-6 أرقام ","")&amp;IF(AND(L173&lt;&gt;"",COUNTIF($L$6:$L$205,L173)&gt;1),"• التحويلة مكررة ","")&amp;IF(AND(M173="نعم",L173=""),"• يجري مكالمات بدون تحويلة ","")&amp;IF(AND(K173&lt;&gt;"",COUNTIF($D$6:$D$205,K173)=0),"• المشرف غير موجود في الجدول ","")&amp;IF(AND(J173="موظف تحصيل",K173=""),"• موظف التحصيل يحتاج مشرفاً ","")&amp;IF(AND(O173&lt;&gt;"",P173=""),"• نوع الهدف بدون قيمة ",""))="","✔ مكتمل",IF(((B173="")+(C173="")+(D173="")+(E173="")+(F173="")+(H173="")+(I173="")+(J173="")+(M173="")+(Q173=""))&gt;0,"• حقول إلزامية ناقصة ","")&amp;IF(AND(D173&lt;&gt;"",COUNTIF($D$6:$D$205,D173)&gt;1),"• اسم المستخدم مكرر ","")&amp;IF(AND(D173&lt;&gt;"",ISNUMBER(SEARCH(" ",D173))),"• اسم المستخدم فيه مسافة ","")&amp;IF(AND(E173&lt;&gt;"",OR(ISERROR(SEARCH("@",E173)),ISERROR(SEARCH(".",E173)))),"• البريد غير صحيح ","")&amp;IF(AND(F173&lt;&gt;"",OR(LEN(F173)&lt;&gt;10,LEFT(F173,2)&lt;&gt;"05",ISERROR(--F173))),"• الجوال ليس بصيغة 05XXXXXXXX ","")&amp;IF(AND(L173&lt;&gt;"",OR(LEN(L173)&lt;2,LEN(L173)&gt;6,ISERROR(--L173),ISNUMBER(SEARCH(".",L173)))),"• التحويلة يجب أن تكون 2-6 أرقام ","")&amp;IF(AND(L173&lt;&gt;"",COUNTIF($L$6:$L$205,L173)&gt;1),"• التحويلة مكررة ","")&amp;IF(AND(M173="نعم",L173=""),"• يجري مكالمات بدون تحويلة ","")&amp;IF(AND(K173&lt;&gt;"",COUNTIF($D$6:$D$205,K173)=0),"• المشرف غير موجود في الجدول ","")&amp;IF(AND(J173="موظف تحصيل",K173=""),"• موظف التحصيل يحتاج مشرفاً ","")&amp;IF(AND(O173&lt;&gt;"",P173=""),"• نوع الهدف بدون قيمة ","")))</f>
        <v/>
      </c>
    </row>
    <row r="174">
      <c r="A174" s="17">
        <f>IF(COUNTA(B174:R174)=0,"",ROW()-5)</f>
        <v/>
      </c>
      <c r="B174" s="18" t="n"/>
      <c r="C174" s="18" t="n"/>
      <c r="D174" s="18" t="n"/>
      <c r="E174" s="18" t="n"/>
      <c r="F174" s="18" t="n"/>
      <c r="G174" s="18" t="n"/>
      <c r="H174" s="10" t="n"/>
      <c r="I174" s="10" t="n"/>
      <c r="J174" s="10" t="n"/>
      <c r="K174" s="10" t="n"/>
      <c r="L174" s="18" t="n"/>
      <c r="M174" s="10" t="n"/>
      <c r="N174" s="18" t="n"/>
      <c r="O174" s="10" t="n"/>
      <c r="P174" s="19" t="n"/>
      <c r="Q174" s="10" t="n"/>
      <c r="R174" s="18" t="n"/>
      <c r="S174" s="20">
        <f>IF(COUNTA(B174:R174)=0,"",IF((IF(((B174="")+(C174="")+(D174="")+(E174="")+(F174="")+(H174="")+(I174="")+(J174="")+(M174="")+(Q174=""))&gt;0,"• حقول إلزامية ناقصة ","")&amp;IF(AND(D174&lt;&gt;"",COUNTIF($D$6:$D$205,D174)&gt;1),"• اسم المستخدم مكرر ","")&amp;IF(AND(D174&lt;&gt;"",ISNUMBER(SEARCH(" ",D174))),"• اسم المستخدم فيه مسافة ","")&amp;IF(AND(E174&lt;&gt;"",OR(ISERROR(SEARCH("@",E174)),ISERROR(SEARCH(".",E174)))),"• البريد غير صحيح ","")&amp;IF(AND(F174&lt;&gt;"",OR(LEN(F174)&lt;&gt;10,LEFT(F174,2)&lt;&gt;"05",ISERROR(--F174))),"• الجوال ليس بصيغة 05XXXXXXXX ","")&amp;IF(AND(L174&lt;&gt;"",OR(LEN(L174)&lt;2,LEN(L174)&gt;6,ISERROR(--L174),ISNUMBER(SEARCH(".",L174)))),"• التحويلة يجب أن تكون 2-6 أرقام ","")&amp;IF(AND(L174&lt;&gt;"",COUNTIF($L$6:$L$205,L174)&gt;1),"• التحويلة مكررة ","")&amp;IF(AND(M174="نعم",L174=""),"• يجري مكالمات بدون تحويلة ","")&amp;IF(AND(K174&lt;&gt;"",COUNTIF($D$6:$D$205,K174)=0),"• المشرف غير موجود في الجدول ","")&amp;IF(AND(J174="موظف تحصيل",K174=""),"• موظف التحصيل يحتاج مشرفاً ","")&amp;IF(AND(O174&lt;&gt;"",P174=""),"• نوع الهدف بدون قيمة ",""))="","✔ مكتمل",IF(((B174="")+(C174="")+(D174="")+(E174="")+(F174="")+(H174="")+(I174="")+(J174="")+(M174="")+(Q174=""))&gt;0,"• حقول إلزامية ناقصة ","")&amp;IF(AND(D174&lt;&gt;"",COUNTIF($D$6:$D$205,D174)&gt;1),"• اسم المستخدم مكرر ","")&amp;IF(AND(D174&lt;&gt;"",ISNUMBER(SEARCH(" ",D174))),"• اسم المستخدم فيه مسافة ","")&amp;IF(AND(E174&lt;&gt;"",OR(ISERROR(SEARCH("@",E174)),ISERROR(SEARCH(".",E174)))),"• البريد غير صحيح ","")&amp;IF(AND(F174&lt;&gt;"",OR(LEN(F174)&lt;&gt;10,LEFT(F174,2)&lt;&gt;"05",ISERROR(--F174))),"• الجوال ليس بصيغة 05XXXXXXXX ","")&amp;IF(AND(L174&lt;&gt;"",OR(LEN(L174)&lt;2,LEN(L174)&gt;6,ISERROR(--L174),ISNUMBER(SEARCH(".",L174)))),"• التحويلة يجب أن تكون 2-6 أرقام ","")&amp;IF(AND(L174&lt;&gt;"",COUNTIF($L$6:$L$205,L174)&gt;1),"• التحويلة مكررة ","")&amp;IF(AND(M174="نعم",L174=""),"• يجري مكالمات بدون تحويلة ","")&amp;IF(AND(K174&lt;&gt;"",COUNTIF($D$6:$D$205,K174)=0),"• المشرف غير موجود في الجدول ","")&amp;IF(AND(J174="موظف تحصيل",K174=""),"• موظف التحصيل يحتاج مشرفاً ","")&amp;IF(AND(O174&lt;&gt;"",P174=""),"• نوع الهدف بدون قيمة ","")))</f>
        <v/>
      </c>
    </row>
    <row r="175">
      <c r="A175" s="17">
        <f>IF(COUNTA(B175:R175)=0,"",ROW()-5)</f>
        <v/>
      </c>
      <c r="B175" s="18" t="n"/>
      <c r="C175" s="18" t="n"/>
      <c r="D175" s="18" t="n"/>
      <c r="E175" s="18" t="n"/>
      <c r="F175" s="18" t="n"/>
      <c r="G175" s="18" t="n"/>
      <c r="H175" s="10" t="n"/>
      <c r="I175" s="10" t="n"/>
      <c r="J175" s="10" t="n"/>
      <c r="K175" s="10" t="n"/>
      <c r="L175" s="18" t="n"/>
      <c r="M175" s="10" t="n"/>
      <c r="N175" s="18" t="n"/>
      <c r="O175" s="10" t="n"/>
      <c r="P175" s="19" t="n"/>
      <c r="Q175" s="10" t="n"/>
      <c r="R175" s="18" t="n"/>
      <c r="S175" s="20">
        <f>IF(COUNTA(B175:R175)=0,"",IF((IF(((B175="")+(C175="")+(D175="")+(E175="")+(F175="")+(H175="")+(I175="")+(J175="")+(M175="")+(Q175=""))&gt;0,"• حقول إلزامية ناقصة ","")&amp;IF(AND(D175&lt;&gt;"",COUNTIF($D$6:$D$205,D175)&gt;1),"• اسم المستخدم مكرر ","")&amp;IF(AND(D175&lt;&gt;"",ISNUMBER(SEARCH(" ",D175))),"• اسم المستخدم فيه مسافة ","")&amp;IF(AND(E175&lt;&gt;"",OR(ISERROR(SEARCH("@",E175)),ISERROR(SEARCH(".",E175)))),"• البريد غير صحيح ","")&amp;IF(AND(F175&lt;&gt;"",OR(LEN(F175)&lt;&gt;10,LEFT(F175,2)&lt;&gt;"05",ISERROR(--F175))),"• الجوال ليس بصيغة 05XXXXXXXX ","")&amp;IF(AND(L175&lt;&gt;"",OR(LEN(L175)&lt;2,LEN(L175)&gt;6,ISERROR(--L175),ISNUMBER(SEARCH(".",L175)))),"• التحويلة يجب أن تكون 2-6 أرقام ","")&amp;IF(AND(L175&lt;&gt;"",COUNTIF($L$6:$L$205,L175)&gt;1),"• التحويلة مكررة ","")&amp;IF(AND(M175="نعم",L175=""),"• يجري مكالمات بدون تحويلة ","")&amp;IF(AND(K175&lt;&gt;"",COUNTIF($D$6:$D$205,K175)=0),"• المشرف غير موجود في الجدول ","")&amp;IF(AND(J175="موظف تحصيل",K175=""),"• موظف التحصيل يحتاج مشرفاً ","")&amp;IF(AND(O175&lt;&gt;"",P175=""),"• نوع الهدف بدون قيمة ",""))="","✔ مكتمل",IF(((B175="")+(C175="")+(D175="")+(E175="")+(F175="")+(H175="")+(I175="")+(J175="")+(M175="")+(Q175=""))&gt;0,"• حقول إلزامية ناقصة ","")&amp;IF(AND(D175&lt;&gt;"",COUNTIF($D$6:$D$205,D175)&gt;1),"• اسم المستخدم مكرر ","")&amp;IF(AND(D175&lt;&gt;"",ISNUMBER(SEARCH(" ",D175))),"• اسم المستخدم فيه مسافة ","")&amp;IF(AND(E175&lt;&gt;"",OR(ISERROR(SEARCH("@",E175)),ISERROR(SEARCH(".",E175)))),"• البريد غير صحيح ","")&amp;IF(AND(F175&lt;&gt;"",OR(LEN(F175)&lt;&gt;10,LEFT(F175,2)&lt;&gt;"05",ISERROR(--F175))),"• الجوال ليس بصيغة 05XXXXXXXX ","")&amp;IF(AND(L175&lt;&gt;"",OR(LEN(L175)&lt;2,LEN(L175)&gt;6,ISERROR(--L175),ISNUMBER(SEARCH(".",L175)))),"• التحويلة يجب أن تكون 2-6 أرقام ","")&amp;IF(AND(L175&lt;&gt;"",COUNTIF($L$6:$L$205,L175)&gt;1),"• التحويلة مكررة ","")&amp;IF(AND(M175="نعم",L175=""),"• يجري مكالمات بدون تحويلة ","")&amp;IF(AND(K175&lt;&gt;"",COUNTIF($D$6:$D$205,K175)=0),"• المشرف غير موجود في الجدول ","")&amp;IF(AND(J175="موظف تحصيل",K175=""),"• موظف التحصيل يحتاج مشرفاً ","")&amp;IF(AND(O175&lt;&gt;"",P175=""),"• نوع الهدف بدون قيمة ","")))</f>
        <v/>
      </c>
    </row>
    <row r="176">
      <c r="A176" s="17">
        <f>IF(COUNTA(B176:R176)=0,"",ROW()-5)</f>
        <v/>
      </c>
      <c r="B176" s="18" t="n"/>
      <c r="C176" s="18" t="n"/>
      <c r="D176" s="18" t="n"/>
      <c r="E176" s="18" t="n"/>
      <c r="F176" s="18" t="n"/>
      <c r="G176" s="18" t="n"/>
      <c r="H176" s="10" t="n"/>
      <c r="I176" s="10" t="n"/>
      <c r="J176" s="10" t="n"/>
      <c r="K176" s="10" t="n"/>
      <c r="L176" s="18" t="n"/>
      <c r="M176" s="10" t="n"/>
      <c r="N176" s="18" t="n"/>
      <c r="O176" s="10" t="n"/>
      <c r="P176" s="19" t="n"/>
      <c r="Q176" s="10" t="n"/>
      <c r="R176" s="18" t="n"/>
      <c r="S176" s="20">
        <f>IF(COUNTA(B176:R176)=0,"",IF((IF(((B176="")+(C176="")+(D176="")+(E176="")+(F176="")+(H176="")+(I176="")+(J176="")+(M176="")+(Q176=""))&gt;0,"• حقول إلزامية ناقصة ","")&amp;IF(AND(D176&lt;&gt;"",COUNTIF($D$6:$D$205,D176)&gt;1),"• اسم المستخدم مكرر ","")&amp;IF(AND(D176&lt;&gt;"",ISNUMBER(SEARCH(" ",D176))),"• اسم المستخدم فيه مسافة ","")&amp;IF(AND(E176&lt;&gt;"",OR(ISERROR(SEARCH("@",E176)),ISERROR(SEARCH(".",E176)))),"• البريد غير صحيح ","")&amp;IF(AND(F176&lt;&gt;"",OR(LEN(F176)&lt;&gt;10,LEFT(F176,2)&lt;&gt;"05",ISERROR(--F176))),"• الجوال ليس بصيغة 05XXXXXXXX ","")&amp;IF(AND(L176&lt;&gt;"",OR(LEN(L176)&lt;2,LEN(L176)&gt;6,ISERROR(--L176),ISNUMBER(SEARCH(".",L176)))),"• التحويلة يجب أن تكون 2-6 أرقام ","")&amp;IF(AND(L176&lt;&gt;"",COUNTIF($L$6:$L$205,L176)&gt;1),"• التحويلة مكررة ","")&amp;IF(AND(M176="نعم",L176=""),"• يجري مكالمات بدون تحويلة ","")&amp;IF(AND(K176&lt;&gt;"",COUNTIF($D$6:$D$205,K176)=0),"• المشرف غير موجود في الجدول ","")&amp;IF(AND(J176="موظف تحصيل",K176=""),"• موظف التحصيل يحتاج مشرفاً ","")&amp;IF(AND(O176&lt;&gt;"",P176=""),"• نوع الهدف بدون قيمة ",""))="","✔ مكتمل",IF(((B176="")+(C176="")+(D176="")+(E176="")+(F176="")+(H176="")+(I176="")+(J176="")+(M176="")+(Q176=""))&gt;0,"• حقول إلزامية ناقصة ","")&amp;IF(AND(D176&lt;&gt;"",COUNTIF($D$6:$D$205,D176)&gt;1),"• اسم المستخدم مكرر ","")&amp;IF(AND(D176&lt;&gt;"",ISNUMBER(SEARCH(" ",D176))),"• اسم المستخدم فيه مسافة ","")&amp;IF(AND(E176&lt;&gt;"",OR(ISERROR(SEARCH("@",E176)),ISERROR(SEARCH(".",E176)))),"• البريد غير صحيح ","")&amp;IF(AND(F176&lt;&gt;"",OR(LEN(F176)&lt;&gt;10,LEFT(F176,2)&lt;&gt;"05",ISERROR(--F176))),"• الجوال ليس بصيغة 05XXXXXXXX ","")&amp;IF(AND(L176&lt;&gt;"",OR(LEN(L176)&lt;2,LEN(L176)&gt;6,ISERROR(--L176),ISNUMBER(SEARCH(".",L176)))),"• التحويلة يجب أن تكون 2-6 أرقام ","")&amp;IF(AND(L176&lt;&gt;"",COUNTIF($L$6:$L$205,L176)&gt;1),"• التحويلة مكررة ","")&amp;IF(AND(M176="نعم",L176=""),"• يجري مكالمات بدون تحويلة ","")&amp;IF(AND(K176&lt;&gt;"",COUNTIF($D$6:$D$205,K176)=0),"• المشرف غير موجود في الجدول ","")&amp;IF(AND(J176="موظف تحصيل",K176=""),"• موظف التحصيل يحتاج مشرفاً ","")&amp;IF(AND(O176&lt;&gt;"",P176=""),"• نوع الهدف بدون قيمة ","")))</f>
        <v/>
      </c>
    </row>
    <row r="177">
      <c r="A177" s="17">
        <f>IF(COUNTA(B177:R177)=0,"",ROW()-5)</f>
        <v/>
      </c>
      <c r="B177" s="18" t="n"/>
      <c r="C177" s="18" t="n"/>
      <c r="D177" s="18" t="n"/>
      <c r="E177" s="18" t="n"/>
      <c r="F177" s="18" t="n"/>
      <c r="G177" s="18" t="n"/>
      <c r="H177" s="10" t="n"/>
      <c r="I177" s="10" t="n"/>
      <c r="J177" s="10" t="n"/>
      <c r="K177" s="10" t="n"/>
      <c r="L177" s="18" t="n"/>
      <c r="M177" s="10" t="n"/>
      <c r="N177" s="18" t="n"/>
      <c r="O177" s="10" t="n"/>
      <c r="P177" s="19" t="n"/>
      <c r="Q177" s="10" t="n"/>
      <c r="R177" s="18" t="n"/>
      <c r="S177" s="20">
        <f>IF(COUNTA(B177:R177)=0,"",IF((IF(((B177="")+(C177="")+(D177="")+(E177="")+(F177="")+(H177="")+(I177="")+(J177="")+(M177="")+(Q177=""))&gt;0,"• حقول إلزامية ناقصة ","")&amp;IF(AND(D177&lt;&gt;"",COUNTIF($D$6:$D$205,D177)&gt;1),"• اسم المستخدم مكرر ","")&amp;IF(AND(D177&lt;&gt;"",ISNUMBER(SEARCH(" ",D177))),"• اسم المستخدم فيه مسافة ","")&amp;IF(AND(E177&lt;&gt;"",OR(ISERROR(SEARCH("@",E177)),ISERROR(SEARCH(".",E177)))),"• البريد غير صحيح ","")&amp;IF(AND(F177&lt;&gt;"",OR(LEN(F177)&lt;&gt;10,LEFT(F177,2)&lt;&gt;"05",ISERROR(--F177))),"• الجوال ليس بصيغة 05XXXXXXXX ","")&amp;IF(AND(L177&lt;&gt;"",OR(LEN(L177)&lt;2,LEN(L177)&gt;6,ISERROR(--L177),ISNUMBER(SEARCH(".",L177)))),"• التحويلة يجب أن تكون 2-6 أرقام ","")&amp;IF(AND(L177&lt;&gt;"",COUNTIF($L$6:$L$205,L177)&gt;1),"• التحويلة مكررة ","")&amp;IF(AND(M177="نعم",L177=""),"• يجري مكالمات بدون تحويلة ","")&amp;IF(AND(K177&lt;&gt;"",COUNTIF($D$6:$D$205,K177)=0),"• المشرف غير موجود في الجدول ","")&amp;IF(AND(J177="موظف تحصيل",K177=""),"• موظف التحصيل يحتاج مشرفاً ","")&amp;IF(AND(O177&lt;&gt;"",P177=""),"• نوع الهدف بدون قيمة ",""))="","✔ مكتمل",IF(((B177="")+(C177="")+(D177="")+(E177="")+(F177="")+(H177="")+(I177="")+(J177="")+(M177="")+(Q177=""))&gt;0,"• حقول إلزامية ناقصة ","")&amp;IF(AND(D177&lt;&gt;"",COUNTIF($D$6:$D$205,D177)&gt;1),"• اسم المستخدم مكرر ","")&amp;IF(AND(D177&lt;&gt;"",ISNUMBER(SEARCH(" ",D177))),"• اسم المستخدم فيه مسافة ","")&amp;IF(AND(E177&lt;&gt;"",OR(ISERROR(SEARCH("@",E177)),ISERROR(SEARCH(".",E177)))),"• البريد غير صحيح ","")&amp;IF(AND(F177&lt;&gt;"",OR(LEN(F177)&lt;&gt;10,LEFT(F177,2)&lt;&gt;"05",ISERROR(--F177))),"• الجوال ليس بصيغة 05XXXXXXXX ","")&amp;IF(AND(L177&lt;&gt;"",OR(LEN(L177)&lt;2,LEN(L177)&gt;6,ISERROR(--L177),ISNUMBER(SEARCH(".",L177)))),"• التحويلة يجب أن تكون 2-6 أرقام ","")&amp;IF(AND(L177&lt;&gt;"",COUNTIF($L$6:$L$205,L177)&gt;1),"• التحويلة مكررة ","")&amp;IF(AND(M177="نعم",L177=""),"• يجري مكالمات بدون تحويلة ","")&amp;IF(AND(K177&lt;&gt;"",COUNTIF($D$6:$D$205,K177)=0),"• المشرف غير موجود في الجدول ","")&amp;IF(AND(J177="موظف تحصيل",K177=""),"• موظف التحصيل يحتاج مشرفاً ","")&amp;IF(AND(O177&lt;&gt;"",P177=""),"• نوع الهدف بدون قيمة ","")))</f>
        <v/>
      </c>
    </row>
    <row r="178">
      <c r="A178" s="17">
        <f>IF(COUNTA(B178:R178)=0,"",ROW()-5)</f>
        <v/>
      </c>
      <c r="B178" s="18" t="n"/>
      <c r="C178" s="18" t="n"/>
      <c r="D178" s="18" t="n"/>
      <c r="E178" s="18" t="n"/>
      <c r="F178" s="18" t="n"/>
      <c r="G178" s="18" t="n"/>
      <c r="H178" s="10" t="n"/>
      <c r="I178" s="10" t="n"/>
      <c r="J178" s="10" t="n"/>
      <c r="K178" s="10" t="n"/>
      <c r="L178" s="18" t="n"/>
      <c r="M178" s="10" t="n"/>
      <c r="N178" s="18" t="n"/>
      <c r="O178" s="10" t="n"/>
      <c r="P178" s="19" t="n"/>
      <c r="Q178" s="10" t="n"/>
      <c r="R178" s="18" t="n"/>
      <c r="S178" s="20">
        <f>IF(COUNTA(B178:R178)=0,"",IF((IF(((B178="")+(C178="")+(D178="")+(E178="")+(F178="")+(H178="")+(I178="")+(J178="")+(M178="")+(Q178=""))&gt;0,"• حقول إلزامية ناقصة ","")&amp;IF(AND(D178&lt;&gt;"",COUNTIF($D$6:$D$205,D178)&gt;1),"• اسم المستخدم مكرر ","")&amp;IF(AND(D178&lt;&gt;"",ISNUMBER(SEARCH(" ",D178))),"• اسم المستخدم فيه مسافة ","")&amp;IF(AND(E178&lt;&gt;"",OR(ISERROR(SEARCH("@",E178)),ISERROR(SEARCH(".",E178)))),"• البريد غير صحيح ","")&amp;IF(AND(F178&lt;&gt;"",OR(LEN(F178)&lt;&gt;10,LEFT(F178,2)&lt;&gt;"05",ISERROR(--F178))),"• الجوال ليس بصيغة 05XXXXXXXX ","")&amp;IF(AND(L178&lt;&gt;"",OR(LEN(L178)&lt;2,LEN(L178)&gt;6,ISERROR(--L178),ISNUMBER(SEARCH(".",L178)))),"• التحويلة يجب أن تكون 2-6 أرقام ","")&amp;IF(AND(L178&lt;&gt;"",COUNTIF($L$6:$L$205,L178)&gt;1),"• التحويلة مكررة ","")&amp;IF(AND(M178="نعم",L178=""),"• يجري مكالمات بدون تحويلة ","")&amp;IF(AND(K178&lt;&gt;"",COUNTIF($D$6:$D$205,K178)=0),"• المشرف غير موجود في الجدول ","")&amp;IF(AND(J178="موظف تحصيل",K178=""),"• موظف التحصيل يحتاج مشرفاً ","")&amp;IF(AND(O178&lt;&gt;"",P178=""),"• نوع الهدف بدون قيمة ",""))="","✔ مكتمل",IF(((B178="")+(C178="")+(D178="")+(E178="")+(F178="")+(H178="")+(I178="")+(J178="")+(M178="")+(Q178=""))&gt;0,"• حقول إلزامية ناقصة ","")&amp;IF(AND(D178&lt;&gt;"",COUNTIF($D$6:$D$205,D178)&gt;1),"• اسم المستخدم مكرر ","")&amp;IF(AND(D178&lt;&gt;"",ISNUMBER(SEARCH(" ",D178))),"• اسم المستخدم فيه مسافة ","")&amp;IF(AND(E178&lt;&gt;"",OR(ISERROR(SEARCH("@",E178)),ISERROR(SEARCH(".",E178)))),"• البريد غير صحيح ","")&amp;IF(AND(F178&lt;&gt;"",OR(LEN(F178)&lt;&gt;10,LEFT(F178,2)&lt;&gt;"05",ISERROR(--F178))),"• الجوال ليس بصيغة 05XXXXXXXX ","")&amp;IF(AND(L178&lt;&gt;"",OR(LEN(L178)&lt;2,LEN(L178)&gt;6,ISERROR(--L178),ISNUMBER(SEARCH(".",L178)))),"• التحويلة يجب أن تكون 2-6 أرقام ","")&amp;IF(AND(L178&lt;&gt;"",COUNTIF($L$6:$L$205,L178)&gt;1),"• التحويلة مكررة ","")&amp;IF(AND(M178="نعم",L178=""),"• يجري مكالمات بدون تحويلة ","")&amp;IF(AND(K178&lt;&gt;"",COUNTIF($D$6:$D$205,K178)=0),"• المشرف غير موجود في الجدول ","")&amp;IF(AND(J178="موظف تحصيل",K178=""),"• موظف التحصيل يحتاج مشرفاً ","")&amp;IF(AND(O178&lt;&gt;"",P178=""),"• نوع الهدف بدون قيمة ","")))</f>
        <v/>
      </c>
    </row>
    <row r="179">
      <c r="A179" s="17">
        <f>IF(COUNTA(B179:R179)=0,"",ROW()-5)</f>
        <v/>
      </c>
      <c r="B179" s="18" t="n"/>
      <c r="C179" s="18" t="n"/>
      <c r="D179" s="18" t="n"/>
      <c r="E179" s="18" t="n"/>
      <c r="F179" s="18" t="n"/>
      <c r="G179" s="18" t="n"/>
      <c r="H179" s="10" t="n"/>
      <c r="I179" s="10" t="n"/>
      <c r="J179" s="10" t="n"/>
      <c r="K179" s="10" t="n"/>
      <c r="L179" s="18" t="n"/>
      <c r="M179" s="10" t="n"/>
      <c r="N179" s="18" t="n"/>
      <c r="O179" s="10" t="n"/>
      <c r="P179" s="19" t="n"/>
      <c r="Q179" s="10" t="n"/>
      <c r="R179" s="18" t="n"/>
      <c r="S179" s="20">
        <f>IF(COUNTA(B179:R179)=0,"",IF((IF(((B179="")+(C179="")+(D179="")+(E179="")+(F179="")+(H179="")+(I179="")+(J179="")+(M179="")+(Q179=""))&gt;0,"• حقول إلزامية ناقصة ","")&amp;IF(AND(D179&lt;&gt;"",COUNTIF($D$6:$D$205,D179)&gt;1),"• اسم المستخدم مكرر ","")&amp;IF(AND(D179&lt;&gt;"",ISNUMBER(SEARCH(" ",D179))),"• اسم المستخدم فيه مسافة ","")&amp;IF(AND(E179&lt;&gt;"",OR(ISERROR(SEARCH("@",E179)),ISERROR(SEARCH(".",E179)))),"• البريد غير صحيح ","")&amp;IF(AND(F179&lt;&gt;"",OR(LEN(F179)&lt;&gt;10,LEFT(F179,2)&lt;&gt;"05",ISERROR(--F179))),"• الجوال ليس بصيغة 05XXXXXXXX ","")&amp;IF(AND(L179&lt;&gt;"",OR(LEN(L179)&lt;2,LEN(L179)&gt;6,ISERROR(--L179),ISNUMBER(SEARCH(".",L179)))),"• التحويلة يجب أن تكون 2-6 أرقام ","")&amp;IF(AND(L179&lt;&gt;"",COUNTIF($L$6:$L$205,L179)&gt;1),"• التحويلة مكررة ","")&amp;IF(AND(M179="نعم",L179=""),"• يجري مكالمات بدون تحويلة ","")&amp;IF(AND(K179&lt;&gt;"",COUNTIF($D$6:$D$205,K179)=0),"• المشرف غير موجود في الجدول ","")&amp;IF(AND(J179="موظف تحصيل",K179=""),"• موظف التحصيل يحتاج مشرفاً ","")&amp;IF(AND(O179&lt;&gt;"",P179=""),"• نوع الهدف بدون قيمة ",""))="","✔ مكتمل",IF(((B179="")+(C179="")+(D179="")+(E179="")+(F179="")+(H179="")+(I179="")+(J179="")+(M179="")+(Q179=""))&gt;0,"• حقول إلزامية ناقصة ","")&amp;IF(AND(D179&lt;&gt;"",COUNTIF($D$6:$D$205,D179)&gt;1),"• اسم المستخدم مكرر ","")&amp;IF(AND(D179&lt;&gt;"",ISNUMBER(SEARCH(" ",D179))),"• اسم المستخدم فيه مسافة ","")&amp;IF(AND(E179&lt;&gt;"",OR(ISERROR(SEARCH("@",E179)),ISERROR(SEARCH(".",E179)))),"• البريد غير صحيح ","")&amp;IF(AND(F179&lt;&gt;"",OR(LEN(F179)&lt;&gt;10,LEFT(F179,2)&lt;&gt;"05",ISERROR(--F179))),"• الجوال ليس بصيغة 05XXXXXXXX ","")&amp;IF(AND(L179&lt;&gt;"",OR(LEN(L179)&lt;2,LEN(L179)&gt;6,ISERROR(--L179),ISNUMBER(SEARCH(".",L179)))),"• التحويلة يجب أن تكون 2-6 أرقام ","")&amp;IF(AND(L179&lt;&gt;"",COUNTIF($L$6:$L$205,L179)&gt;1),"• التحويلة مكررة ","")&amp;IF(AND(M179="نعم",L179=""),"• يجري مكالمات بدون تحويلة ","")&amp;IF(AND(K179&lt;&gt;"",COUNTIF($D$6:$D$205,K179)=0),"• المشرف غير موجود في الجدول ","")&amp;IF(AND(J179="موظف تحصيل",K179=""),"• موظف التحصيل يحتاج مشرفاً ","")&amp;IF(AND(O179&lt;&gt;"",P179=""),"• نوع الهدف بدون قيمة ","")))</f>
        <v/>
      </c>
    </row>
    <row r="180">
      <c r="A180" s="17">
        <f>IF(COUNTA(B180:R180)=0,"",ROW()-5)</f>
        <v/>
      </c>
      <c r="B180" s="18" t="n"/>
      <c r="C180" s="18" t="n"/>
      <c r="D180" s="18" t="n"/>
      <c r="E180" s="18" t="n"/>
      <c r="F180" s="18" t="n"/>
      <c r="G180" s="18" t="n"/>
      <c r="H180" s="10" t="n"/>
      <c r="I180" s="10" t="n"/>
      <c r="J180" s="10" t="n"/>
      <c r="K180" s="10" t="n"/>
      <c r="L180" s="18" t="n"/>
      <c r="M180" s="10" t="n"/>
      <c r="N180" s="18" t="n"/>
      <c r="O180" s="10" t="n"/>
      <c r="P180" s="19" t="n"/>
      <c r="Q180" s="10" t="n"/>
      <c r="R180" s="18" t="n"/>
      <c r="S180" s="20">
        <f>IF(COUNTA(B180:R180)=0,"",IF((IF(((B180="")+(C180="")+(D180="")+(E180="")+(F180="")+(H180="")+(I180="")+(J180="")+(M180="")+(Q180=""))&gt;0,"• حقول إلزامية ناقصة ","")&amp;IF(AND(D180&lt;&gt;"",COUNTIF($D$6:$D$205,D180)&gt;1),"• اسم المستخدم مكرر ","")&amp;IF(AND(D180&lt;&gt;"",ISNUMBER(SEARCH(" ",D180))),"• اسم المستخدم فيه مسافة ","")&amp;IF(AND(E180&lt;&gt;"",OR(ISERROR(SEARCH("@",E180)),ISERROR(SEARCH(".",E180)))),"• البريد غير صحيح ","")&amp;IF(AND(F180&lt;&gt;"",OR(LEN(F180)&lt;&gt;10,LEFT(F180,2)&lt;&gt;"05",ISERROR(--F180))),"• الجوال ليس بصيغة 05XXXXXXXX ","")&amp;IF(AND(L180&lt;&gt;"",OR(LEN(L180)&lt;2,LEN(L180)&gt;6,ISERROR(--L180),ISNUMBER(SEARCH(".",L180)))),"• التحويلة يجب أن تكون 2-6 أرقام ","")&amp;IF(AND(L180&lt;&gt;"",COUNTIF($L$6:$L$205,L180)&gt;1),"• التحويلة مكررة ","")&amp;IF(AND(M180="نعم",L180=""),"• يجري مكالمات بدون تحويلة ","")&amp;IF(AND(K180&lt;&gt;"",COUNTIF($D$6:$D$205,K180)=0),"• المشرف غير موجود في الجدول ","")&amp;IF(AND(J180="موظف تحصيل",K180=""),"• موظف التحصيل يحتاج مشرفاً ","")&amp;IF(AND(O180&lt;&gt;"",P180=""),"• نوع الهدف بدون قيمة ",""))="","✔ مكتمل",IF(((B180="")+(C180="")+(D180="")+(E180="")+(F180="")+(H180="")+(I180="")+(J180="")+(M180="")+(Q180=""))&gt;0,"• حقول إلزامية ناقصة ","")&amp;IF(AND(D180&lt;&gt;"",COUNTIF($D$6:$D$205,D180)&gt;1),"• اسم المستخدم مكرر ","")&amp;IF(AND(D180&lt;&gt;"",ISNUMBER(SEARCH(" ",D180))),"• اسم المستخدم فيه مسافة ","")&amp;IF(AND(E180&lt;&gt;"",OR(ISERROR(SEARCH("@",E180)),ISERROR(SEARCH(".",E180)))),"• البريد غير صحيح ","")&amp;IF(AND(F180&lt;&gt;"",OR(LEN(F180)&lt;&gt;10,LEFT(F180,2)&lt;&gt;"05",ISERROR(--F180))),"• الجوال ليس بصيغة 05XXXXXXXX ","")&amp;IF(AND(L180&lt;&gt;"",OR(LEN(L180)&lt;2,LEN(L180)&gt;6,ISERROR(--L180),ISNUMBER(SEARCH(".",L180)))),"• التحويلة يجب أن تكون 2-6 أرقام ","")&amp;IF(AND(L180&lt;&gt;"",COUNTIF($L$6:$L$205,L180)&gt;1),"• التحويلة مكررة ","")&amp;IF(AND(M180="نعم",L180=""),"• يجري مكالمات بدون تحويلة ","")&amp;IF(AND(K180&lt;&gt;"",COUNTIF($D$6:$D$205,K180)=0),"• المشرف غير موجود في الجدول ","")&amp;IF(AND(J180="موظف تحصيل",K180=""),"• موظف التحصيل يحتاج مشرفاً ","")&amp;IF(AND(O180&lt;&gt;"",P180=""),"• نوع الهدف بدون قيمة ","")))</f>
        <v/>
      </c>
    </row>
    <row r="181">
      <c r="A181" s="17">
        <f>IF(COUNTA(B181:R181)=0,"",ROW()-5)</f>
        <v/>
      </c>
      <c r="B181" s="18" t="n"/>
      <c r="C181" s="18" t="n"/>
      <c r="D181" s="18" t="n"/>
      <c r="E181" s="18" t="n"/>
      <c r="F181" s="18" t="n"/>
      <c r="G181" s="18" t="n"/>
      <c r="H181" s="10" t="n"/>
      <c r="I181" s="10" t="n"/>
      <c r="J181" s="10" t="n"/>
      <c r="K181" s="10" t="n"/>
      <c r="L181" s="18" t="n"/>
      <c r="M181" s="10" t="n"/>
      <c r="N181" s="18" t="n"/>
      <c r="O181" s="10" t="n"/>
      <c r="P181" s="19" t="n"/>
      <c r="Q181" s="10" t="n"/>
      <c r="R181" s="18" t="n"/>
      <c r="S181" s="20">
        <f>IF(COUNTA(B181:R181)=0,"",IF((IF(((B181="")+(C181="")+(D181="")+(E181="")+(F181="")+(H181="")+(I181="")+(J181="")+(M181="")+(Q181=""))&gt;0,"• حقول إلزامية ناقصة ","")&amp;IF(AND(D181&lt;&gt;"",COUNTIF($D$6:$D$205,D181)&gt;1),"• اسم المستخدم مكرر ","")&amp;IF(AND(D181&lt;&gt;"",ISNUMBER(SEARCH(" ",D181))),"• اسم المستخدم فيه مسافة ","")&amp;IF(AND(E181&lt;&gt;"",OR(ISERROR(SEARCH("@",E181)),ISERROR(SEARCH(".",E181)))),"• البريد غير صحيح ","")&amp;IF(AND(F181&lt;&gt;"",OR(LEN(F181)&lt;&gt;10,LEFT(F181,2)&lt;&gt;"05",ISERROR(--F181))),"• الجوال ليس بصيغة 05XXXXXXXX ","")&amp;IF(AND(L181&lt;&gt;"",OR(LEN(L181)&lt;2,LEN(L181)&gt;6,ISERROR(--L181),ISNUMBER(SEARCH(".",L181)))),"• التحويلة يجب أن تكون 2-6 أرقام ","")&amp;IF(AND(L181&lt;&gt;"",COUNTIF($L$6:$L$205,L181)&gt;1),"• التحويلة مكررة ","")&amp;IF(AND(M181="نعم",L181=""),"• يجري مكالمات بدون تحويلة ","")&amp;IF(AND(K181&lt;&gt;"",COUNTIF($D$6:$D$205,K181)=0),"• المشرف غير موجود في الجدول ","")&amp;IF(AND(J181="موظف تحصيل",K181=""),"• موظف التحصيل يحتاج مشرفاً ","")&amp;IF(AND(O181&lt;&gt;"",P181=""),"• نوع الهدف بدون قيمة ",""))="","✔ مكتمل",IF(((B181="")+(C181="")+(D181="")+(E181="")+(F181="")+(H181="")+(I181="")+(J181="")+(M181="")+(Q181=""))&gt;0,"• حقول إلزامية ناقصة ","")&amp;IF(AND(D181&lt;&gt;"",COUNTIF($D$6:$D$205,D181)&gt;1),"• اسم المستخدم مكرر ","")&amp;IF(AND(D181&lt;&gt;"",ISNUMBER(SEARCH(" ",D181))),"• اسم المستخدم فيه مسافة ","")&amp;IF(AND(E181&lt;&gt;"",OR(ISERROR(SEARCH("@",E181)),ISERROR(SEARCH(".",E181)))),"• البريد غير صحيح ","")&amp;IF(AND(F181&lt;&gt;"",OR(LEN(F181)&lt;&gt;10,LEFT(F181,2)&lt;&gt;"05",ISERROR(--F181))),"• الجوال ليس بصيغة 05XXXXXXXX ","")&amp;IF(AND(L181&lt;&gt;"",OR(LEN(L181)&lt;2,LEN(L181)&gt;6,ISERROR(--L181),ISNUMBER(SEARCH(".",L181)))),"• التحويلة يجب أن تكون 2-6 أرقام ","")&amp;IF(AND(L181&lt;&gt;"",COUNTIF($L$6:$L$205,L181)&gt;1),"• التحويلة مكررة ","")&amp;IF(AND(M181="نعم",L181=""),"• يجري مكالمات بدون تحويلة ","")&amp;IF(AND(K181&lt;&gt;"",COUNTIF($D$6:$D$205,K181)=0),"• المشرف غير موجود في الجدول ","")&amp;IF(AND(J181="موظف تحصيل",K181=""),"• موظف التحصيل يحتاج مشرفاً ","")&amp;IF(AND(O181&lt;&gt;"",P181=""),"• نوع الهدف بدون قيمة ","")))</f>
        <v/>
      </c>
    </row>
    <row r="182">
      <c r="A182" s="17">
        <f>IF(COUNTA(B182:R182)=0,"",ROW()-5)</f>
        <v/>
      </c>
      <c r="B182" s="18" t="n"/>
      <c r="C182" s="18" t="n"/>
      <c r="D182" s="18" t="n"/>
      <c r="E182" s="18" t="n"/>
      <c r="F182" s="18" t="n"/>
      <c r="G182" s="18" t="n"/>
      <c r="H182" s="10" t="n"/>
      <c r="I182" s="10" t="n"/>
      <c r="J182" s="10" t="n"/>
      <c r="K182" s="10" t="n"/>
      <c r="L182" s="18" t="n"/>
      <c r="M182" s="10" t="n"/>
      <c r="N182" s="18" t="n"/>
      <c r="O182" s="10" t="n"/>
      <c r="P182" s="19" t="n"/>
      <c r="Q182" s="10" t="n"/>
      <c r="R182" s="18" t="n"/>
      <c r="S182" s="20">
        <f>IF(COUNTA(B182:R182)=0,"",IF((IF(((B182="")+(C182="")+(D182="")+(E182="")+(F182="")+(H182="")+(I182="")+(J182="")+(M182="")+(Q182=""))&gt;0,"• حقول إلزامية ناقصة ","")&amp;IF(AND(D182&lt;&gt;"",COUNTIF($D$6:$D$205,D182)&gt;1),"• اسم المستخدم مكرر ","")&amp;IF(AND(D182&lt;&gt;"",ISNUMBER(SEARCH(" ",D182))),"• اسم المستخدم فيه مسافة ","")&amp;IF(AND(E182&lt;&gt;"",OR(ISERROR(SEARCH("@",E182)),ISERROR(SEARCH(".",E182)))),"• البريد غير صحيح ","")&amp;IF(AND(F182&lt;&gt;"",OR(LEN(F182)&lt;&gt;10,LEFT(F182,2)&lt;&gt;"05",ISERROR(--F182))),"• الجوال ليس بصيغة 05XXXXXXXX ","")&amp;IF(AND(L182&lt;&gt;"",OR(LEN(L182)&lt;2,LEN(L182)&gt;6,ISERROR(--L182),ISNUMBER(SEARCH(".",L182)))),"• التحويلة يجب أن تكون 2-6 أرقام ","")&amp;IF(AND(L182&lt;&gt;"",COUNTIF($L$6:$L$205,L182)&gt;1),"• التحويلة مكررة ","")&amp;IF(AND(M182="نعم",L182=""),"• يجري مكالمات بدون تحويلة ","")&amp;IF(AND(K182&lt;&gt;"",COUNTIF($D$6:$D$205,K182)=0),"• المشرف غير موجود في الجدول ","")&amp;IF(AND(J182="موظف تحصيل",K182=""),"• موظف التحصيل يحتاج مشرفاً ","")&amp;IF(AND(O182&lt;&gt;"",P182=""),"• نوع الهدف بدون قيمة ",""))="","✔ مكتمل",IF(((B182="")+(C182="")+(D182="")+(E182="")+(F182="")+(H182="")+(I182="")+(J182="")+(M182="")+(Q182=""))&gt;0,"• حقول إلزامية ناقصة ","")&amp;IF(AND(D182&lt;&gt;"",COUNTIF($D$6:$D$205,D182)&gt;1),"• اسم المستخدم مكرر ","")&amp;IF(AND(D182&lt;&gt;"",ISNUMBER(SEARCH(" ",D182))),"• اسم المستخدم فيه مسافة ","")&amp;IF(AND(E182&lt;&gt;"",OR(ISERROR(SEARCH("@",E182)),ISERROR(SEARCH(".",E182)))),"• البريد غير صحيح ","")&amp;IF(AND(F182&lt;&gt;"",OR(LEN(F182)&lt;&gt;10,LEFT(F182,2)&lt;&gt;"05",ISERROR(--F182))),"• الجوال ليس بصيغة 05XXXXXXXX ","")&amp;IF(AND(L182&lt;&gt;"",OR(LEN(L182)&lt;2,LEN(L182)&gt;6,ISERROR(--L182),ISNUMBER(SEARCH(".",L182)))),"• التحويلة يجب أن تكون 2-6 أرقام ","")&amp;IF(AND(L182&lt;&gt;"",COUNTIF($L$6:$L$205,L182)&gt;1),"• التحويلة مكررة ","")&amp;IF(AND(M182="نعم",L182=""),"• يجري مكالمات بدون تحويلة ","")&amp;IF(AND(K182&lt;&gt;"",COUNTIF($D$6:$D$205,K182)=0),"• المشرف غير موجود في الجدول ","")&amp;IF(AND(J182="موظف تحصيل",K182=""),"• موظف التحصيل يحتاج مشرفاً ","")&amp;IF(AND(O182&lt;&gt;"",P182=""),"• نوع الهدف بدون قيمة ","")))</f>
        <v/>
      </c>
    </row>
    <row r="183">
      <c r="A183" s="17">
        <f>IF(COUNTA(B183:R183)=0,"",ROW()-5)</f>
        <v/>
      </c>
      <c r="B183" s="18" t="n"/>
      <c r="C183" s="18" t="n"/>
      <c r="D183" s="18" t="n"/>
      <c r="E183" s="18" t="n"/>
      <c r="F183" s="18" t="n"/>
      <c r="G183" s="18" t="n"/>
      <c r="H183" s="10" t="n"/>
      <c r="I183" s="10" t="n"/>
      <c r="J183" s="10" t="n"/>
      <c r="K183" s="10" t="n"/>
      <c r="L183" s="18" t="n"/>
      <c r="M183" s="10" t="n"/>
      <c r="N183" s="18" t="n"/>
      <c r="O183" s="10" t="n"/>
      <c r="P183" s="19" t="n"/>
      <c r="Q183" s="10" t="n"/>
      <c r="R183" s="18" t="n"/>
      <c r="S183" s="20">
        <f>IF(COUNTA(B183:R183)=0,"",IF((IF(((B183="")+(C183="")+(D183="")+(E183="")+(F183="")+(H183="")+(I183="")+(J183="")+(M183="")+(Q183=""))&gt;0,"• حقول إلزامية ناقصة ","")&amp;IF(AND(D183&lt;&gt;"",COUNTIF($D$6:$D$205,D183)&gt;1),"• اسم المستخدم مكرر ","")&amp;IF(AND(D183&lt;&gt;"",ISNUMBER(SEARCH(" ",D183))),"• اسم المستخدم فيه مسافة ","")&amp;IF(AND(E183&lt;&gt;"",OR(ISERROR(SEARCH("@",E183)),ISERROR(SEARCH(".",E183)))),"• البريد غير صحيح ","")&amp;IF(AND(F183&lt;&gt;"",OR(LEN(F183)&lt;&gt;10,LEFT(F183,2)&lt;&gt;"05",ISERROR(--F183))),"• الجوال ليس بصيغة 05XXXXXXXX ","")&amp;IF(AND(L183&lt;&gt;"",OR(LEN(L183)&lt;2,LEN(L183)&gt;6,ISERROR(--L183),ISNUMBER(SEARCH(".",L183)))),"• التحويلة يجب أن تكون 2-6 أرقام ","")&amp;IF(AND(L183&lt;&gt;"",COUNTIF($L$6:$L$205,L183)&gt;1),"• التحويلة مكررة ","")&amp;IF(AND(M183="نعم",L183=""),"• يجري مكالمات بدون تحويلة ","")&amp;IF(AND(K183&lt;&gt;"",COUNTIF($D$6:$D$205,K183)=0),"• المشرف غير موجود في الجدول ","")&amp;IF(AND(J183="موظف تحصيل",K183=""),"• موظف التحصيل يحتاج مشرفاً ","")&amp;IF(AND(O183&lt;&gt;"",P183=""),"• نوع الهدف بدون قيمة ",""))="","✔ مكتمل",IF(((B183="")+(C183="")+(D183="")+(E183="")+(F183="")+(H183="")+(I183="")+(J183="")+(M183="")+(Q183=""))&gt;0,"• حقول إلزامية ناقصة ","")&amp;IF(AND(D183&lt;&gt;"",COUNTIF($D$6:$D$205,D183)&gt;1),"• اسم المستخدم مكرر ","")&amp;IF(AND(D183&lt;&gt;"",ISNUMBER(SEARCH(" ",D183))),"• اسم المستخدم فيه مسافة ","")&amp;IF(AND(E183&lt;&gt;"",OR(ISERROR(SEARCH("@",E183)),ISERROR(SEARCH(".",E183)))),"• البريد غير صحيح ","")&amp;IF(AND(F183&lt;&gt;"",OR(LEN(F183)&lt;&gt;10,LEFT(F183,2)&lt;&gt;"05",ISERROR(--F183))),"• الجوال ليس بصيغة 05XXXXXXXX ","")&amp;IF(AND(L183&lt;&gt;"",OR(LEN(L183)&lt;2,LEN(L183)&gt;6,ISERROR(--L183),ISNUMBER(SEARCH(".",L183)))),"• التحويلة يجب أن تكون 2-6 أرقام ","")&amp;IF(AND(L183&lt;&gt;"",COUNTIF($L$6:$L$205,L183)&gt;1),"• التحويلة مكررة ","")&amp;IF(AND(M183="نعم",L183=""),"• يجري مكالمات بدون تحويلة ","")&amp;IF(AND(K183&lt;&gt;"",COUNTIF($D$6:$D$205,K183)=0),"• المشرف غير موجود في الجدول ","")&amp;IF(AND(J183="موظف تحصيل",K183=""),"• موظف التحصيل يحتاج مشرفاً ","")&amp;IF(AND(O183&lt;&gt;"",P183=""),"• نوع الهدف بدون قيمة ","")))</f>
        <v/>
      </c>
    </row>
    <row r="184">
      <c r="A184" s="17">
        <f>IF(COUNTA(B184:R184)=0,"",ROW()-5)</f>
        <v/>
      </c>
      <c r="B184" s="18" t="n"/>
      <c r="C184" s="18" t="n"/>
      <c r="D184" s="18" t="n"/>
      <c r="E184" s="18" t="n"/>
      <c r="F184" s="18" t="n"/>
      <c r="G184" s="18" t="n"/>
      <c r="H184" s="10" t="n"/>
      <c r="I184" s="10" t="n"/>
      <c r="J184" s="10" t="n"/>
      <c r="K184" s="10" t="n"/>
      <c r="L184" s="18" t="n"/>
      <c r="M184" s="10" t="n"/>
      <c r="N184" s="18" t="n"/>
      <c r="O184" s="10" t="n"/>
      <c r="P184" s="19" t="n"/>
      <c r="Q184" s="10" t="n"/>
      <c r="R184" s="18" t="n"/>
      <c r="S184" s="20">
        <f>IF(COUNTA(B184:R184)=0,"",IF((IF(((B184="")+(C184="")+(D184="")+(E184="")+(F184="")+(H184="")+(I184="")+(J184="")+(M184="")+(Q184=""))&gt;0,"• حقول إلزامية ناقصة ","")&amp;IF(AND(D184&lt;&gt;"",COUNTIF($D$6:$D$205,D184)&gt;1),"• اسم المستخدم مكرر ","")&amp;IF(AND(D184&lt;&gt;"",ISNUMBER(SEARCH(" ",D184))),"• اسم المستخدم فيه مسافة ","")&amp;IF(AND(E184&lt;&gt;"",OR(ISERROR(SEARCH("@",E184)),ISERROR(SEARCH(".",E184)))),"• البريد غير صحيح ","")&amp;IF(AND(F184&lt;&gt;"",OR(LEN(F184)&lt;&gt;10,LEFT(F184,2)&lt;&gt;"05",ISERROR(--F184))),"• الجوال ليس بصيغة 05XXXXXXXX ","")&amp;IF(AND(L184&lt;&gt;"",OR(LEN(L184)&lt;2,LEN(L184)&gt;6,ISERROR(--L184),ISNUMBER(SEARCH(".",L184)))),"• التحويلة يجب أن تكون 2-6 أرقام ","")&amp;IF(AND(L184&lt;&gt;"",COUNTIF($L$6:$L$205,L184)&gt;1),"• التحويلة مكررة ","")&amp;IF(AND(M184="نعم",L184=""),"• يجري مكالمات بدون تحويلة ","")&amp;IF(AND(K184&lt;&gt;"",COUNTIF($D$6:$D$205,K184)=0),"• المشرف غير موجود في الجدول ","")&amp;IF(AND(J184="موظف تحصيل",K184=""),"• موظف التحصيل يحتاج مشرفاً ","")&amp;IF(AND(O184&lt;&gt;"",P184=""),"• نوع الهدف بدون قيمة ",""))="","✔ مكتمل",IF(((B184="")+(C184="")+(D184="")+(E184="")+(F184="")+(H184="")+(I184="")+(J184="")+(M184="")+(Q184=""))&gt;0,"• حقول إلزامية ناقصة ","")&amp;IF(AND(D184&lt;&gt;"",COUNTIF($D$6:$D$205,D184)&gt;1),"• اسم المستخدم مكرر ","")&amp;IF(AND(D184&lt;&gt;"",ISNUMBER(SEARCH(" ",D184))),"• اسم المستخدم فيه مسافة ","")&amp;IF(AND(E184&lt;&gt;"",OR(ISERROR(SEARCH("@",E184)),ISERROR(SEARCH(".",E184)))),"• البريد غير صحيح ","")&amp;IF(AND(F184&lt;&gt;"",OR(LEN(F184)&lt;&gt;10,LEFT(F184,2)&lt;&gt;"05",ISERROR(--F184))),"• الجوال ليس بصيغة 05XXXXXXXX ","")&amp;IF(AND(L184&lt;&gt;"",OR(LEN(L184)&lt;2,LEN(L184)&gt;6,ISERROR(--L184),ISNUMBER(SEARCH(".",L184)))),"• التحويلة يجب أن تكون 2-6 أرقام ","")&amp;IF(AND(L184&lt;&gt;"",COUNTIF($L$6:$L$205,L184)&gt;1),"• التحويلة مكررة ","")&amp;IF(AND(M184="نعم",L184=""),"• يجري مكالمات بدون تحويلة ","")&amp;IF(AND(K184&lt;&gt;"",COUNTIF($D$6:$D$205,K184)=0),"• المشرف غير موجود في الجدول ","")&amp;IF(AND(J184="موظف تحصيل",K184=""),"• موظف التحصيل يحتاج مشرفاً ","")&amp;IF(AND(O184&lt;&gt;"",P184=""),"• نوع الهدف بدون قيمة ","")))</f>
        <v/>
      </c>
    </row>
    <row r="185">
      <c r="A185" s="17">
        <f>IF(COUNTA(B185:R185)=0,"",ROW()-5)</f>
        <v/>
      </c>
      <c r="B185" s="18" t="n"/>
      <c r="C185" s="18" t="n"/>
      <c r="D185" s="18" t="n"/>
      <c r="E185" s="18" t="n"/>
      <c r="F185" s="18" t="n"/>
      <c r="G185" s="18" t="n"/>
      <c r="H185" s="10" t="n"/>
      <c r="I185" s="10" t="n"/>
      <c r="J185" s="10" t="n"/>
      <c r="K185" s="10" t="n"/>
      <c r="L185" s="18" t="n"/>
      <c r="M185" s="10" t="n"/>
      <c r="N185" s="18" t="n"/>
      <c r="O185" s="10" t="n"/>
      <c r="P185" s="19" t="n"/>
      <c r="Q185" s="10" t="n"/>
      <c r="R185" s="18" t="n"/>
      <c r="S185" s="20">
        <f>IF(COUNTA(B185:R185)=0,"",IF((IF(((B185="")+(C185="")+(D185="")+(E185="")+(F185="")+(H185="")+(I185="")+(J185="")+(M185="")+(Q185=""))&gt;0,"• حقول إلزامية ناقصة ","")&amp;IF(AND(D185&lt;&gt;"",COUNTIF($D$6:$D$205,D185)&gt;1),"• اسم المستخدم مكرر ","")&amp;IF(AND(D185&lt;&gt;"",ISNUMBER(SEARCH(" ",D185))),"• اسم المستخدم فيه مسافة ","")&amp;IF(AND(E185&lt;&gt;"",OR(ISERROR(SEARCH("@",E185)),ISERROR(SEARCH(".",E185)))),"• البريد غير صحيح ","")&amp;IF(AND(F185&lt;&gt;"",OR(LEN(F185)&lt;&gt;10,LEFT(F185,2)&lt;&gt;"05",ISERROR(--F185))),"• الجوال ليس بصيغة 05XXXXXXXX ","")&amp;IF(AND(L185&lt;&gt;"",OR(LEN(L185)&lt;2,LEN(L185)&gt;6,ISERROR(--L185),ISNUMBER(SEARCH(".",L185)))),"• التحويلة يجب أن تكون 2-6 أرقام ","")&amp;IF(AND(L185&lt;&gt;"",COUNTIF($L$6:$L$205,L185)&gt;1),"• التحويلة مكررة ","")&amp;IF(AND(M185="نعم",L185=""),"• يجري مكالمات بدون تحويلة ","")&amp;IF(AND(K185&lt;&gt;"",COUNTIF($D$6:$D$205,K185)=0),"• المشرف غير موجود في الجدول ","")&amp;IF(AND(J185="موظف تحصيل",K185=""),"• موظف التحصيل يحتاج مشرفاً ","")&amp;IF(AND(O185&lt;&gt;"",P185=""),"• نوع الهدف بدون قيمة ",""))="","✔ مكتمل",IF(((B185="")+(C185="")+(D185="")+(E185="")+(F185="")+(H185="")+(I185="")+(J185="")+(M185="")+(Q185=""))&gt;0,"• حقول إلزامية ناقصة ","")&amp;IF(AND(D185&lt;&gt;"",COUNTIF($D$6:$D$205,D185)&gt;1),"• اسم المستخدم مكرر ","")&amp;IF(AND(D185&lt;&gt;"",ISNUMBER(SEARCH(" ",D185))),"• اسم المستخدم فيه مسافة ","")&amp;IF(AND(E185&lt;&gt;"",OR(ISERROR(SEARCH("@",E185)),ISERROR(SEARCH(".",E185)))),"• البريد غير صحيح ","")&amp;IF(AND(F185&lt;&gt;"",OR(LEN(F185)&lt;&gt;10,LEFT(F185,2)&lt;&gt;"05",ISERROR(--F185))),"• الجوال ليس بصيغة 05XXXXXXXX ","")&amp;IF(AND(L185&lt;&gt;"",OR(LEN(L185)&lt;2,LEN(L185)&gt;6,ISERROR(--L185),ISNUMBER(SEARCH(".",L185)))),"• التحويلة يجب أن تكون 2-6 أرقام ","")&amp;IF(AND(L185&lt;&gt;"",COUNTIF($L$6:$L$205,L185)&gt;1),"• التحويلة مكررة ","")&amp;IF(AND(M185="نعم",L185=""),"• يجري مكالمات بدون تحويلة ","")&amp;IF(AND(K185&lt;&gt;"",COUNTIF($D$6:$D$205,K185)=0),"• المشرف غير موجود في الجدول ","")&amp;IF(AND(J185="موظف تحصيل",K185=""),"• موظف التحصيل يحتاج مشرفاً ","")&amp;IF(AND(O185&lt;&gt;"",P185=""),"• نوع الهدف بدون قيمة ","")))</f>
        <v/>
      </c>
    </row>
    <row r="186">
      <c r="A186" s="17">
        <f>IF(COUNTA(B186:R186)=0,"",ROW()-5)</f>
        <v/>
      </c>
      <c r="B186" s="18" t="n"/>
      <c r="C186" s="18" t="n"/>
      <c r="D186" s="18" t="n"/>
      <c r="E186" s="18" t="n"/>
      <c r="F186" s="18" t="n"/>
      <c r="G186" s="18" t="n"/>
      <c r="H186" s="10" t="n"/>
      <c r="I186" s="10" t="n"/>
      <c r="J186" s="10" t="n"/>
      <c r="K186" s="10" t="n"/>
      <c r="L186" s="18" t="n"/>
      <c r="M186" s="10" t="n"/>
      <c r="N186" s="18" t="n"/>
      <c r="O186" s="10" t="n"/>
      <c r="P186" s="19" t="n"/>
      <c r="Q186" s="10" t="n"/>
      <c r="R186" s="18" t="n"/>
      <c r="S186" s="20">
        <f>IF(COUNTA(B186:R186)=0,"",IF((IF(((B186="")+(C186="")+(D186="")+(E186="")+(F186="")+(H186="")+(I186="")+(J186="")+(M186="")+(Q186=""))&gt;0,"• حقول إلزامية ناقصة ","")&amp;IF(AND(D186&lt;&gt;"",COUNTIF($D$6:$D$205,D186)&gt;1),"• اسم المستخدم مكرر ","")&amp;IF(AND(D186&lt;&gt;"",ISNUMBER(SEARCH(" ",D186))),"• اسم المستخدم فيه مسافة ","")&amp;IF(AND(E186&lt;&gt;"",OR(ISERROR(SEARCH("@",E186)),ISERROR(SEARCH(".",E186)))),"• البريد غير صحيح ","")&amp;IF(AND(F186&lt;&gt;"",OR(LEN(F186)&lt;&gt;10,LEFT(F186,2)&lt;&gt;"05",ISERROR(--F186))),"• الجوال ليس بصيغة 05XXXXXXXX ","")&amp;IF(AND(L186&lt;&gt;"",OR(LEN(L186)&lt;2,LEN(L186)&gt;6,ISERROR(--L186),ISNUMBER(SEARCH(".",L186)))),"• التحويلة يجب أن تكون 2-6 أرقام ","")&amp;IF(AND(L186&lt;&gt;"",COUNTIF($L$6:$L$205,L186)&gt;1),"• التحويلة مكررة ","")&amp;IF(AND(M186="نعم",L186=""),"• يجري مكالمات بدون تحويلة ","")&amp;IF(AND(K186&lt;&gt;"",COUNTIF($D$6:$D$205,K186)=0),"• المشرف غير موجود في الجدول ","")&amp;IF(AND(J186="موظف تحصيل",K186=""),"• موظف التحصيل يحتاج مشرفاً ","")&amp;IF(AND(O186&lt;&gt;"",P186=""),"• نوع الهدف بدون قيمة ",""))="","✔ مكتمل",IF(((B186="")+(C186="")+(D186="")+(E186="")+(F186="")+(H186="")+(I186="")+(J186="")+(M186="")+(Q186=""))&gt;0,"• حقول إلزامية ناقصة ","")&amp;IF(AND(D186&lt;&gt;"",COUNTIF($D$6:$D$205,D186)&gt;1),"• اسم المستخدم مكرر ","")&amp;IF(AND(D186&lt;&gt;"",ISNUMBER(SEARCH(" ",D186))),"• اسم المستخدم فيه مسافة ","")&amp;IF(AND(E186&lt;&gt;"",OR(ISERROR(SEARCH("@",E186)),ISERROR(SEARCH(".",E186)))),"• البريد غير صحيح ","")&amp;IF(AND(F186&lt;&gt;"",OR(LEN(F186)&lt;&gt;10,LEFT(F186,2)&lt;&gt;"05",ISERROR(--F186))),"• الجوال ليس بصيغة 05XXXXXXXX ","")&amp;IF(AND(L186&lt;&gt;"",OR(LEN(L186)&lt;2,LEN(L186)&gt;6,ISERROR(--L186),ISNUMBER(SEARCH(".",L186)))),"• التحويلة يجب أن تكون 2-6 أرقام ","")&amp;IF(AND(L186&lt;&gt;"",COUNTIF($L$6:$L$205,L186)&gt;1),"• التحويلة مكررة ","")&amp;IF(AND(M186="نعم",L186=""),"• يجري مكالمات بدون تحويلة ","")&amp;IF(AND(K186&lt;&gt;"",COUNTIF($D$6:$D$205,K186)=0),"• المشرف غير موجود في الجدول ","")&amp;IF(AND(J186="موظف تحصيل",K186=""),"• موظف التحصيل يحتاج مشرفاً ","")&amp;IF(AND(O186&lt;&gt;"",P186=""),"• نوع الهدف بدون قيمة ","")))</f>
        <v/>
      </c>
    </row>
    <row r="187">
      <c r="A187" s="17">
        <f>IF(COUNTA(B187:R187)=0,"",ROW()-5)</f>
        <v/>
      </c>
      <c r="B187" s="18" t="n"/>
      <c r="C187" s="18" t="n"/>
      <c r="D187" s="18" t="n"/>
      <c r="E187" s="18" t="n"/>
      <c r="F187" s="18" t="n"/>
      <c r="G187" s="18" t="n"/>
      <c r="H187" s="10" t="n"/>
      <c r="I187" s="10" t="n"/>
      <c r="J187" s="10" t="n"/>
      <c r="K187" s="10" t="n"/>
      <c r="L187" s="18" t="n"/>
      <c r="M187" s="10" t="n"/>
      <c r="N187" s="18" t="n"/>
      <c r="O187" s="10" t="n"/>
      <c r="P187" s="19" t="n"/>
      <c r="Q187" s="10" t="n"/>
      <c r="R187" s="18" t="n"/>
      <c r="S187" s="20">
        <f>IF(COUNTA(B187:R187)=0,"",IF((IF(((B187="")+(C187="")+(D187="")+(E187="")+(F187="")+(H187="")+(I187="")+(J187="")+(M187="")+(Q187=""))&gt;0,"• حقول إلزامية ناقصة ","")&amp;IF(AND(D187&lt;&gt;"",COUNTIF($D$6:$D$205,D187)&gt;1),"• اسم المستخدم مكرر ","")&amp;IF(AND(D187&lt;&gt;"",ISNUMBER(SEARCH(" ",D187))),"• اسم المستخدم فيه مسافة ","")&amp;IF(AND(E187&lt;&gt;"",OR(ISERROR(SEARCH("@",E187)),ISERROR(SEARCH(".",E187)))),"• البريد غير صحيح ","")&amp;IF(AND(F187&lt;&gt;"",OR(LEN(F187)&lt;&gt;10,LEFT(F187,2)&lt;&gt;"05",ISERROR(--F187))),"• الجوال ليس بصيغة 05XXXXXXXX ","")&amp;IF(AND(L187&lt;&gt;"",OR(LEN(L187)&lt;2,LEN(L187)&gt;6,ISERROR(--L187),ISNUMBER(SEARCH(".",L187)))),"• التحويلة يجب أن تكون 2-6 أرقام ","")&amp;IF(AND(L187&lt;&gt;"",COUNTIF($L$6:$L$205,L187)&gt;1),"• التحويلة مكررة ","")&amp;IF(AND(M187="نعم",L187=""),"• يجري مكالمات بدون تحويلة ","")&amp;IF(AND(K187&lt;&gt;"",COUNTIF($D$6:$D$205,K187)=0),"• المشرف غير موجود في الجدول ","")&amp;IF(AND(J187="موظف تحصيل",K187=""),"• موظف التحصيل يحتاج مشرفاً ","")&amp;IF(AND(O187&lt;&gt;"",P187=""),"• نوع الهدف بدون قيمة ",""))="","✔ مكتمل",IF(((B187="")+(C187="")+(D187="")+(E187="")+(F187="")+(H187="")+(I187="")+(J187="")+(M187="")+(Q187=""))&gt;0,"• حقول إلزامية ناقصة ","")&amp;IF(AND(D187&lt;&gt;"",COUNTIF($D$6:$D$205,D187)&gt;1),"• اسم المستخدم مكرر ","")&amp;IF(AND(D187&lt;&gt;"",ISNUMBER(SEARCH(" ",D187))),"• اسم المستخدم فيه مسافة ","")&amp;IF(AND(E187&lt;&gt;"",OR(ISERROR(SEARCH("@",E187)),ISERROR(SEARCH(".",E187)))),"• البريد غير صحيح ","")&amp;IF(AND(F187&lt;&gt;"",OR(LEN(F187)&lt;&gt;10,LEFT(F187,2)&lt;&gt;"05",ISERROR(--F187))),"• الجوال ليس بصيغة 05XXXXXXXX ","")&amp;IF(AND(L187&lt;&gt;"",OR(LEN(L187)&lt;2,LEN(L187)&gt;6,ISERROR(--L187),ISNUMBER(SEARCH(".",L187)))),"• التحويلة يجب أن تكون 2-6 أرقام ","")&amp;IF(AND(L187&lt;&gt;"",COUNTIF($L$6:$L$205,L187)&gt;1),"• التحويلة مكررة ","")&amp;IF(AND(M187="نعم",L187=""),"• يجري مكالمات بدون تحويلة ","")&amp;IF(AND(K187&lt;&gt;"",COUNTIF($D$6:$D$205,K187)=0),"• المشرف غير موجود في الجدول ","")&amp;IF(AND(J187="موظف تحصيل",K187=""),"• موظف التحصيل يحتاج مشرفاً ","")&amp;IF(AND(O187&lt;&gt;"",P187=""),"• نوع الهدف بدون قيمة ","")))</f>
        <v/>
      </c>
    </row>
    <row r="188">
      <c r="A188" s="17">
        <f>IF(COUNTA(B188:R188)=0,"",ROW()-5)</f>
        <v/>
      </c>
      <c r="B188" s="18" t="n"/>
      <c r="C188" s="18" t="n"/>
      <c r="D188" s="18" t="n"/>
      <c r="E188" s="18" t="n"/>
      <c r="F188" s="18" t="n"/>
      <c r="G188" s="18" t="n"/>
      <c r="H188" s="10" t="n"/>
      <c r="I188" s="10" t="n"/>
      <c r="J188" s="10" t="n"/>
      <c r="K188" s="10" t="n"/>
      <c r="L188" s="18" t="n"/>
      <c r="M188" s="10" t="n"/>
      <c r="N188" s="18" t="n"/>
      <c r="O188" s="10" t="n"/>
      <c r="P188" s="19" t="n"/>
      <c r="Q188" s="10" t="n"/>
      <c r="R188" s="18" t="n"/>
      <c r="S188" s="20">
        <f>IF(COUNTA(B188:R188)=0,"",IF((IF(((B188="")+(C188="")+(D188="")+(E188="")+(F188="")+(H188="")+(I188="")+(J188="")+(M188="")+(Q188=""))&gt;0,"• حقول إلزامية ناقصة ","")&amp;IF(AND(D188&lt;&gt;"",COUNTIF($D$6:$D$205,D188)&gt;1),"• اسم المستخدم مكرر ","")&amp;IF(AND(D188&lt;&gt;"",ISNUMBER(SEARCH(" ",D188))),"• اسم المستخدم فيه مسافة ","")&amp;IF(AND(E188&lt;&gt;"",OR(ISERROR(SEARCH("@",E188)),ISERROR(SEARCH(".",E188)))),"• البريد غير صحيح ","")&amp;IF(AND(F188&lt;&gt;"",OR(LEN(F188)&lt;&gt;10,LEFT(F188,2)&lt;&gt;"05",ISERROR(--F188))),"• الجوال ليس بصيغة 05XXXXXXXX ","")&amp;IF(AND(L188&lt;&gt;"",OR(LEN(L188)&lt;2,LEN(L188)&gt;6,ISERROR(--L188),ISNUMBER(SEARCH(".",L188)))),"• التحويلة يجب أن تكون 2-6 أرقام ","")&amp;IF(AND(L188&lt;&gt;"",COUNTIF($L$6:$L$205,L188)&gt;1),"• التحويلة مكررة ","")&amp;IF(AND(M188="نعم",L188=""),"• يجري مكالمات بدون تحويلة ","")&amp;IF(AND(K188&lt;&gt;"",COUNTIF($D$6:$D$205,K188)=0),"• المشرف غير موجود في الجدول ","")&amp;IF(AND(J188="موظف تحصيل",K188=""),"• موظف التحصيل يحتاج مشرفاً ","")&amp;IF(AND(O188&lt;&gt;"",P188=""),"• نوع الهدف بدون قيمة ",""))="","✔ مكتمل",IF(((B188="")+(C188="")+(D188="")+(E188="")+(F188="")+(H188="")+(I188="")+(J188="")+(M188="")+(Q188=""))&gt;0,"• حقول إلزامية ناقصة ","")&amp;IF(AND(D188&lt;&gt;"",COUNTIF($D$6:$D$205,D188)&gt;1),"• اسم المستخدم مكرر ","")&amp;IF(AND(D188&lt;&gt;"",ISNUMBER(SEARCH(" ",D188))),"• اسم المستخدم فيه مسافة ","")&amp;IF(AND(E188&lt;&gt;"",OR(ISERROR(SEARCH("@",E188)),ISERROR(SEARCH(".",E188)))),"• البريد غير صحيح ","")&amp;IF(AND(F188&lt;&gt;"",OR(LEN(F188)&lt;&gt;10,LEFT(F188,2)&lt;&gt;"05",ISERROR(--F188))),"• الجوال ليس بصيغة 05XXXXXXXX ","")&amp;IF(AND(L188&lt;&gt;"",OR(LEN(L188)&lt;2,LEN(L188)&gt;6,ISERROR(--L188),ISNUMBER(SEARCH(".",L188)))),"• التحويلة يجب أن تكون 2-6 أرقام ","")&amp;IF(AND(L188&lt;&gt;"",COUNTIF($L$6:$L$205,L188)&gt;1),"• التحويلة مكررة ","")&amp;IF(AND(M188="نعم",L188=""),"• يجري مكالمات بدون تحويلة ","")&amp;IF(AND(K188&lt;&gt;"",COUNTIF($D$6:$D$205,K188)=0),"• المشرف غير موجود في الجدول ","")&amp;IF(AND(J188="موظف تحصيل",K188=""),"• موظف التحصيل يحتاج مشرفاً ","")&amp;IF(AND(O188&lt;&gt;"",P188=""),"• نوع الهدف بدون قيمة ","")))</f>
        <v/>
      </c>
    </row>
    <row r="189">
      <c r="A189" s="17">
        <f>IF(COUNTA(B189:R189)=0,"",ROW()-5)</f>
        <v/>
      </c>
      <c r="B189" s="18" t="n"/>
      <c r="C189" s="18" t="n"/>
      <c r="D189" s="18" t="n"/>
      <c r="E189" s="18" t="n"/>
      <c r="F189" s="18" t="n"/>
      <c r="G189" s="18" t="n"/>
      <c r="H189" s="10" t="n"/>
      <c r="I189" s="10" t="n"/>
      <c r="J189" s="10" t="n"/>
      <c r="K189" s="10" t="n"/>
      <c r="L189" s="18" t="n"/>
      <c r="M189" s="10" t="n"/>
      <c r="N189" s="18" t="n"/>
      <c r="O189" s="10" t="n"/>
      <c r="P189" s="19" t="n"/>
      <c r="Q189" s="10" t="n"/>
      <c r="R189" s="18" t="n"/>
      <c r="S189" s="20">
        <f>IF(COUNTA(B189:R189)=0,"",IF((IF(((B189="")+(C189="")+(D189="")+(E189="")+(F189="")+(H189="")+(I189="")+(J189="")+(M189="")+(Q189=""))&gt;0,"• حقول إلزامية ناقصة ","")&amp;IF(AND(D189&lt;&gt;"",COUNTIF($D$6:$D$205,D189)&gt;1),"• اسم المستخدم مكرر ","")&amp;IF(AND(D189&lt;&gt;"",ISNUMBER(SEARCH(" ",D189))),"• اسم المستخدم فيه مسافة ","")&amp;IF(AND(E189&lt;&gt;"",OR(ISERROR(SEARCH("@",E189)),ISERROR(SEARCH(".",E189)))),"• البريد غير صحيح ","")&amp;IF(AND(F189&lt;&gt;"",OR(LEN(F189)&lt;&gt;10,LEFT(F189,2)&lt;&gt;"05",ISERROR(--F189))),"• الجوال ليس بصيغة 05XXXXXXXX ","")&amp;IF(AND(L189&lt;&gt;"",OR(LEN(L189)&lt;2,LEN(L189)&gt;6,ISERROR(--L189),ISNUMBER(SEARCH(".",L189)))),"• التحويلة يجب أن تكون 2-6 أرقام ","")&amp;IF(AND(L189&lt;&gt;"",COUNTIF($L$6:$L$205,L189)&gt;1),"• التحويلة مكررة ","")&amp;IF(AND(M189="نعم",L189=""),"• يجري مكالمات بدون تحويلة ","")&amp;IF(AND(K189&lt;&gt;"",COUNTIF($D$6:$D$205,K189)=0),"• المشرف غير موجود في الجدول ","")&amp;IF(AND(J189="موظف تحصيل",K189=""),"• موظف التحصيل يحتاج مشرفاً ","")&amp;IF(AND(O189&lt;&gt;"",P189=""),"• نوع الهدف بدون قيمة ",""))="","✔ مكتمل",IF(((B189="")+(C189="")+(D189="")+(E189="")+(F189="")+(H189="")+(I189="")+(J189="")+(M189="")+(Q189=""))&gt;0,"• حقول إلزامية ناقصة ","")&amp;IF(AND(D189&lt;&gt;"",COUNTIF($D$6:$D$205,D189)&gt;1),"• اسم المستخدم مكرر ","")&amp;IF(AND(D189&lt;&gt;"",ISNUMBER(SEARCH(" ",D189))),"• اسم المستخدم فيه مسافة ","")&amp;IF(AND(E189&lt;&gt;"",OR(ISERROR(SEARCH("@",E189)),ISERROR(SEARCH(".",E189)))),"• البريد غير صحيح ","")&amp;IF(AND(F189&lt;&gt;"",OR(LEN(F189)&lt;&gt;10,LEFT(F189,2)&lt;&gt;"05",ISERROR(--F189))),"• الجوال ليس بصيغة 05XXXXXXXX ","")&amp;IF(AND(L189&lt;&gt;"",OR(LEN(L189)&lt;2,LEN(L189)&gt;6,ISERROR(--L189),ISNUMBER(SEARCH(".",L189)))),"• التحويلة يجب أن تكون 2-6 أرقام ","")&amp;IF(AND(L189&lt;&gt;"",COUNTIF($L$6:$L$205,L189)&gt;1),"• التحويلة مكررة ","")&amp;IF(AND(M189="نعم",L189=""),"• يجري مكالمات بدون تحويلة ","")&amp;IF(AND(K189&lt;&gt;"",COUNTIF($D$6:$D$205,K189)=0),"• المشرف غير موجود في الجدول ","")&amp;IF(AND(J189="موظف تحصيل",K189=""),"• موظف التحصيل يحتاج مشرفاً ","")&amp;IF(AND(O189&lt;&gt;"",P189=""),"• نوع الهدف بدون قيمة ","")))</f>
        <v/>
      </c>
    </row>
    <row r="190">
      <c r="A190" s="17">
        <f>IF(COUNTA(B190:R190)=0,"",ROW()-5)</f>
        <v/>
      </c>
      <c r="B190" s="18" t="n"/>
      <c r="C190" s="18" t="n"/>
      <c r="D190" s="18" t="n"/>
      <c r="E190" s="18" t="n"/>
      <c r="F190" s="18" t="n"/>
      <c r="G190" s="18" t="n"/>
      <c r="H190" s="10" t="n"/>
      <c r="I190" s="10" t="n"/>
      <c r="J190" s="10" t="n"/>
      <c r="K190" s="10" t="n"/>
      <c r="L190" s="18" t="n"/>
      <c r="M190" s="10" t="n"/>
      <c r="N190" s="18" t="n"/>
      <c r="O190" s="10" t="n"/>
      <c r="P190" s="19" t="n"/>
      <c r="Q190" s="10" t="n"/>
      <c r="R190" s="18" t="n"/>
      <c r="S190" s="20">
        <f>IF(COUNTA(B190:R190)=0,"",IF((IF(((B190="")+(C190="")+(D190="")+(E190="")+(F190="")+(H190="")+(I190="")+(J190="")+(M190="")+(Q190=""))&gt;0,"• حقول إلزامية ناقصة ","")&amp;IF(AND(D190&lt;&gt;"",COUNTIF($D$6:$D$205,D190)&gt;1),"• اسم المستخدم مكرر ","")&amp;IF(AND(D190&lt;&gt;"",ISNUMBER(SEARCH(" ",D190))),"• اسم المستخدم فيه مسافة ","")&amp;IF(AND(E190&lt;&gt;"",OR(ISERROR(SEARCH("@",E190)),ISERROR(SEARCH(".",E190)))),"• البريد غير صحيح ","")&amp;IF(AND(F190&lt;&gt;"",OR(LEN(F190)&lt;&gt;10,LEFT(F190,2)&lt;&gt;"05",ISERROR(--F190))),"• الجوال ليس بصيغة 05XXXXXXXX ","")&amp;IF(AND(L190&lt;&gt;"",OR(LEN(L190)&lt;2,LEN(L190)&gt;6,ISERROR(--L190),ISNUMBER(SEARCH(".",L190)))),"• التحويلة يجب أن تكون 2-6 أرقام ","")&amp;IF(AND(L190&lt;&gt;"",COUNTIF($L$6:$L$205,L190)&gt;1),"• التحويلة مكررة ","")&amp;IF(AND(M190="نعم",L190=""),"• يجري مكالمات بدون تحويلة ","")&amp;IF(AND(K190&lt;&gt;"",COUNTIF($D$6:$D$205,K190)=0),"• المشرف غير موجود في الجدول ","")&amp;IF(AND(J190="موظف تحصيل",K190=""),"• موظف التحصيل يحتاج مشرفاً ","")&amp;IF(AND(O190&lt;&gt;"",P190=""),"• نوع الهدف بدون قيمة ",""))="","✔ مكتمل",IF(((B190="")+(C190="")+(D190="")+(E190="")+(F190="")+(H190="")+(I190="")+(J190="")+(M190="")+(Q190=""))&gt;0,"• حقول إلزامية ناقصة ","")&amp;IF(AND(D190&lt;&gt;"",COUNTIF($D$6:$D$205,D190)&gt;1),"• اسم المستخدم مكرر ","")&amp;IF(AND(D190&lt;&gt;"",ISNUMBER(SEARCH(" ",D190))),"• اسم المستخدم فيه مسافة ","")&amp;IF(AND(E190&lt;&gt;"",OR(ISERROR(SEARCH("@",E190)),ISERROR(SEARCH(".",E190)))),"• البريد غير صحيح ","")&amp;IF(AND(F190&lt;&gt;"",OR(LEN(F190)&lt;&gt;10,LEFT(F190,2)&lt;&gt;"05",ISERROR(--F190))),"• الجوال ليس بصيغة 05XXXXXXXX ","")&amp;IF(AND(L190&lt;&gt;"",OR(LEN(L190)&lt;2,LEN(L190)&gt;6,ISERROR(--L190),ISNUMBER(SEARCH(".",L190)))),"• التحويلة يجب أن تكون 2-6 أرقام ","")&amp;IF(AND(L190&lt;&gt;"",COUNTIF($L$6:$L$205,L190)&gt;1),"• التحويلة مكررة ","")&amp;IF(AND(M190="نعم",L190=""),"• يجري مكالمات بدون تحويلة ","")&amp;IF(AND(K190&lt;&gt;"",COUNTIF($D$6:$D$205,K190)=0),"• المشرف غير موجود في الجدول ","")&amp;IF(AND(J190="موظف تحصيل",K190=""),"• موظف التحصيل يحتاج مشرفاً ","")&amp;IF(AND(O190&lt;&gt;"",P190=""),"• نوع الهدف بدون قيمة ","")))</f>
        <v/>
      </c>
    </row>
    <row r="191">
      <c r="A191" s="17">
        <f>IF(COUNTA(B191:R191)=0,"",ROW()-5)</f>
        <v/>
      </c>
      <c r="B191" s="18" t="n"/>
      <c r="C191" s="18" t="n"/>
      <c r="D191" s="18" t="n"/>
      <c r="E191" s="18" t="n"/>
      <c r="F191" s="18" t="n"/>
      <c r="G191" s="18" t="n"/>
      <c r="H191" s="10" t="n"/>
      <c r="I191" s="10" t="n"/>
      <c r="J191" s="10" t="n"/>
      <c r="K191" s="10" t="n"/>
      <c r="L191" s="18" t="n"/>
      <c r="M191" s="10" t="n"/>
      <c r="N191" s="18" t="n"/>
      <c r="O191" s="10" t="n"/>
      <c r="P191" s="19" t="n"/>
      <c r="Q191" s="10" t="n"/>
      <c r="R191" s="18" t="n"/>
      <c r="S191" s="20">
        <f>IF(COUNTA(B191:R191)=0,"",IF((IF(((B191="")+(C191="")+(D191="")+(E191="")+(F191="")+(H191="")+(I191="")+(J191="")+(M191="")+(Q191=""))&gt;0,"• حقول إلزامية ناقصة ","")&amp;IF(AND(D191&lt;&gt;"",COUNTIF($D$6:$D$205,D191)&gt;1),"• اسم المستخدم مكرر ","")&amp;IF(AND(D191&lt;&gt;"",ISNUMBER(SEARCH(" ",D191))),"• اسم المستخدم فيه مسافة ","")&amp;IF(AND(E191&lt;&gt;"",OR(ISERROR(SEARCH("@",E191)),ISERROR(SEARCH(".",E191)))),"• البريد غير صحيح ","")&amp;IF(AND(F191&lt;&gt;"",OR(LEN(F191)&lt;&gt;10,LEFT(F191,2)&lt;&gt;"05",ISERROR(--F191))),"• الجوال ليس بصيغة 05XXXXXXXX ","")&amp;IF(AND(L191&lt;&gt;"",OR(LEN(L191)&lt;2,LEN(L191)&gt;6,ISERROR(--L191),ISNUMBER(SEARCH(".",L191)))),"• التحويلة يجب أن تكون 2-6 أرقام ","")&amp;IF(AND(L191&lt;&gt;"",COUNTIF($L$6:$L$205,L191)&gt;1),"• التحويلة مكررة ","")&amp;IF(AND(M191="نعم",L191=""),"• يجري مكالمات بدون تحويلة ","")&amp;IF(AND(K191&lt;&gt;"",COUNTIF($D$6:$D$205,K191)=0),"• المشرف غير موجود في الجدول ","")&amp;IF(AND(J191="موظف تحصيل",K191=""),"• موظف التحصيل يحتاج مشرفاً ","")&amp;IF(AND(O191&lt;&gt;"",P191=""),"• نوع الهدف بدون قيمة ",""))="","✔ مكتمل",IF(((B191="")+(C191="")+(D191="")+(E191="")+(F191="")+(H191="")+(I191="")+(J191="")+(M191="")+(Q191=""))&gt;0,"• حقول إلزامية ناقصة ","")&amp;IF(AND(D191&lt;&gt;"",COUNTIF($D$6:$D$205,D191)&gt;1),"• اسم المستخدم مكرر ","")&amp;IF(AND(D191&lt;&gt;"",ISNUMBER(SEARCH(" ",D191))),"• اسم المستخدم فيه مسافة ","")&amp;IF(AND(E191&lt;&gt;"",OR(ISERROR(SEARCH("@",E191)),ISERROR(SEARCH(".",E191)))),"• البريد غير صحيح ","")&amp;IF(AND(F191&lt;&gt;"",OR(LEN(F191)&lt;&gt;10,LEFT(F191,2)&lt;&gt;"05",ISERROR(--F191))),"• الجوال ليس بصيغة 05XXXXXXXX ","")&amp;IF(AND(L191&lt;&gt;"",OR(LEN(L191)&lt;2,LEN(L191)&gt;6,ISERROR(--L191),ISNUMBER(SEARCH(".",L191)))),"• التحويلة يجب أن تكون 2-6 أرقام ","")&amp;IF(AND(L191&lt;&gt;"",COUNTIF($L$6:$L$205,L191)&gt;1),"• التحويلة مكررة ","")&amp;IF(AND(M191="نعم",L191=""),"• يجري مكالمات بدون تحويلة ","")&amp;IF(AND(K191&lt;&gt;"",COUNTIF($D$6:$D$205,K191)=0),"• المشرف غير موجود في الجدول ","")&amp;IF(AND(J191="موظف تحصيل",K191=""),"• موظف التحصيل يحتاج مشرفاً ","")&amp;IF(AND(O191&lt;&gt;"",P191=""),"• نوع الهدف بدون قيمة ","")))</f>
        <v/>
      </c>
    </row>
    <row r="192">
      <c r="A192" s="17">
        <f>IF(COUNTA(B192:R192)=0,"",ROW()-5)</f>
        <v/>
      </c>
      <c r="B192" s="18" t="n"/>
      <c r="C192" s="18" t="n"/>
      <c r="D192" s="18" t="n"/>
      <c r="E192" s="18" t="n"/>
      <c r="F192" s="18" t="n"/>
      <c r="G192" s="18" t="n"/>
      <c r="H192" s="10" t="n"/>
      <c r="I192" s="10" t="n"/>
      <c r="J192" s="10" t="n"/>
      <c r="K192" s="10" t="n"/>
      <c r="L192" s="18" t="n"/>
      <c r="M192" s="10" t="n"/>
      <c r="N192" s="18" t="n"/>
      <c r="O192" s="10" t="n"/>
      <c r="P192" s="19" t="n"/>
      <c r="Q192" s="10" t="n"/>
      <c r="R192" s="18" t="n"/>
      <c r="S192" s="20">
        <f>IF(COUNTA(B192:R192)=0,"",IF((IF(((B192="")+(C192="")+(D192="")+(E192="")+(F192="")+(H192="")+(I192="")+(J192="")+(M192="")+(Q192=""))&gt;0,"• حقول إلزامية ناقصة ","")&amp;IF(AND(D192&lt;&gt;"",COUNTIF($D$6:$D$205,D192)&gt;1),"• اسم المستخدم مكرر ","")&amp;IF(AND(D192&lt;&gt;"",ISNUMBER(SEARCH(" ",D192))),"• اسم المستخدم فيه مسافة ","")&amp;IF(AND(E192&lt;&gt;"",OR(ISERROR(SEARCH("@",E192)),ISERROR(SEARCH(".",E192)))),"• البريد غير صحيح ","")&amp;IF(AND(F192&lt;&gt;"",OR(LEN(F192)&lt;&gt;10,LEFT(F192,2)&lt;&gt;"05",ISERROR(--F192))),"• الجوال ليس بصيغة 05XXXXXXXX ","")&amp;IF(AND(L192&lt;&gt;"",OR(LEN(L192)&lt;2,LEN(L192)&gt;6,ISERROR(--L192),ISNUMBER(SEARCH(".",L192)))),"• التحويلة يجب أن تكون 2-6 أرقام ","")&amp;IF(AND(L192&lt;&gt;"",COUNTIF($L$6:$L$205,L192)&gt;1),"• التحويلة مكررة ","")&amp;IF(AND(M192="نعم",L192=""),"• يجري مكالمات بدون تحويلة ","")&amp;IF(AND(K192&lt;&gt;"",COUNTIF($D$6:$D$205,K192)=0),"• المشرف غير موجود في الجدول ","")&amp;IF(AND(J192="موظف تحصيل",K192=""),"• موظف التحصيل يحتاج مشرفاً ","")&amp;IF(AND(O192&lt;&gt;"",P192=""),"• نوع الهدف بدون قيمة ",""))="","✔ مكتمل",IF(((B192="")+(C192="")+(D192="")+(E192="")+(F192="")+(H192="")+(I192="")+(J192="")+(M192="")+(Q192=""))&gt;0,"• حقول إلزامية ناقصة ","")&amp;IF(AND(D192&lt;&gt;"",COUNTIF($D$6:$D$205,D192)&gt;1),"• اسم المستخدم مكرر ","")&amp;IF(AND(D192&lt;&gt;"",ISNUMBER(SEARCH(" ",D192))),"• اسم المستخدم فيه مسافة ","")&amp;IF(AND(E192&lt;&gt;"",OR(ISERROR(SEARCH("@",E192)),ISERROR(SEARCH(".",E192)))),"• البريد غير صحيح ","")&amp;IF(AND(F192&lt;&gt;"",OR(LEN(F192)&lt;&gt;10,LEFT(F192,2)&lt;&gt;"05",ISERROR(--F192))),"• الجوال ليس بصيغة 05XXXXXXXX ","")&amp;IF(AND(L192&lt;&gt;"",OR(LEN(L192)&lt;2,LEN(L192)&gt;6,ISERROR(--L192),ISNUMBER(SEARCH(".",L192)))),"• التحويلة يجب أن تكون 2-6 أرقام ","")&amp;IF(AND(L192&lt;&gt;"",COUNTIF($L$6:$L$205,L192)&gt;1),"• التحويلة مكررة ","")&amp;IF(AND(M192="نعم",L192=""),"• يجري مكالمات بدون تحويلة ","")&amp;IF(AND(K192&lt;&gt;"",COUNTIF($D$6:$D$205,K192)=0),"• المشرف غير موجود في الجدول ","")&amp;IF(AND(J192="موظف تحصيل",K192=""),"• موظف التحصيل يحتاج مشرفاً ","")&amp;IF(AND(O192&lt;&gt;"",P192=""),"• نوع الهدف بدون قيمة ","")))</f>
        <v/>
      </c>
    </row>
    <row r="193">
      <c r="A193" s="17">
        <f>IF(COUNTA(B193:R193)=0,"",ROW()-5)</f>
        <v/>
      </c>
      <c r="B193" s="18" t="n"/>
      <c r="C193" s="18" t="n"/>
      <c r="D193" s="18" t="n"/>
      <c r="E193" s="18" t="n"/>
      <c r="F193" s="18" t="n"/>
      <c r="G193" s="18" t="n"/>
      <c r="H193" s="10" t="n"/>
      <c r="I193" s="10" t="n"/>
      <c r="J193" s="10" t="n"/>
      <c r="K193" s="10" t="n"/>
      <c r="L193" s="18" t="n"/>
      <c r="M193" s="10" t="n"/>
      <c r="N193" s="18" t="n"/>
      <c r="O193" s="10" t="n"/>
      <c r="P193" s="19" t="n"/>
      <c r="Q193" s="10" t="n"/>
      <c r="R193" s="18" t="n"/>
      <c r="S193" s="20">
        <f>IF(COUNTA(B193:R193)=0,"",IF((IF(((B193="")+(C193="")+(D193="")+(E193="")+(F193="")+(H193="")+(I193="")+(J193="")+(M193="")+(Q193=""))&gt;0,"• حقول إلزامية ناقصة ","")&amp;IF(AND(D193&lt;&gt;"",COUNTIF($D$6:$D$205,D193)&gt;1),"• اسم المستخدم مكرر ","")&amp;IF(AND(D193&lt;&gt;"",ISNUMBER(SEARCH(" ",D193))),"• اسم المستخدم فيه مسافة ","")&amp;IF(AND(E193&lt;&gt;"",OR(ISERROR(SEARCH("@",E193)),ISERROR(SEARCH(".",E193)))),"• البريد غير صحيح ","")&amp;IF(AND(F193&lt;&gt;"",OR(LEN(F193)&lt;&gt;10,LEFT(F193,2)&lt;&gt;"05",ISERROR(--F193))),"• الجوال ليس بصيغة 05XXXXXXXX ","")&amp;IF(AND(L193&lt;&gt;"",OR(LEN(L193)&lt;2,LEN(L193)&gt;6,ISERROR(--L193),ISNUMBER(SEARCH(".",L193)))),"• التحويلة يجب أن تكون 2-6 أرقام ","")&amp;IF(AND(L193&lt;&gt;"",COUNTIF($L$6:$L$205,L193)&gt;1),"• التحويلة مكررة ","")&amp;IF(AND(M193="نعم",L193=""),"• يجري مكالمات بدون تحويلة ","")&amp;IF(AND(K193&lt;&gt;"",COUNTIF($D$6:$D$205,K193)=0),"• المشرف غير موجود في الجدول ","")&amp;IF(AND(J193="موظف تحصيل",K193=""),"• موظف التحصيل يحتاج مشرفاً ","")&amp;IF(AND(O193&lt;&gt;"",P193=""),"• نوع الهدف بدون قيمة ",""))="","✔ مكتمل",IF(((B193="")+(C193="")+(D193="")+(E193="")+(F193="")+(H193="")+(I193="")+(J193="")+(M193="")+(Q193=""))&gt;0,"• حقول إلزامية ناقصة ","")&amp;IF(AND(D193&lt;&gt;"",COUNTIF($D$6:$D$205,D193)&gt;1),"• اسم المستخدم مكرر ","")&amp;IF(AND(D193&lt;&gt;"",ISNUMBER(SEARCH(" ",D193))),"• اسم المستخدم فيه مسافة ","")&amp;IF(AND(E193&lt;&gt;"",OR(ISERROR(SEARCH("@",E193)),ISERROR(SEARCH(".",E193)))),"• البريد غير صحيح ","")&amp;IF(AND(F193&lt;&gt;"",OR(LEN(F193)&lt;&gt;10,LEFT(F193,2)&lt;&gt;"05",ISERROR(--F193))),"• الجوال ليس بصيغة 05XXXXXXXX ","")&amp;IF(AND(L193&lt;&gt;"",OR(LEN(L193)&lt;2,LEN(L193)&gt;6,ISERROR(--L193),ISNUMBER(SEARCH(".",L193)))),"• التحويلة يجب أن تكون 2-6 أرقام ","")&amp;IF(AND(L193&lt;&gt;"",COUNTIF($L$6:$L$205,L193)&gt;1),"• التحويلة مكررة ","")&amp;IF(AND(M193="نعم",L193=""),"• يجري مكالمات بدون تحويلة ","")&amp;IF(AND(K193&lt;&gt;"",COUNTIF($D$6:$D$205,K193)=0),"• المشرف غير موجود في الجدول ","")&amp;IF(AND(J193="موظف تحصيل",K193=""),"• موظف التحصيل يحتاج مشرفاً ","")&amp;IF(AND(O193&lt;&gt;"",P193=""),"• نوع الهدف بدون قيمة ","")))</f>
        <v/>
      </c>
    </row>
    <row r="194">
      <c r="A194" s="17">
        <f>IF(COUNTA(B194:R194)=0,"",ROW()-5)</f>
        <v/>
      </c>
      <c r="B194" s="18" t="n"/>
      <c r="C194" s="18" t="n"/>
      <c r="D194" s="18" t="n"/>
      <c r="E194" s="18" t="n"/>
      <c r="F194" s="18" t="n"/>
      <c r="G194" s="18" t="n"/>
      <c r="H194" s="10" t="n"/>
      <c r="I194" s="10" t="n"/>
      <c r="J194" s="10" t="n"/>
      <c r="K194" s="10" t="n"/>
      <c r="L194" s="18" t="n"/>
      <c r="M194" s="10" t="n"/>
      <c r="N194" s="18" t="n"/>
      <c r="O194" s="10" t="n"/>
      <c r="P194" s="19" t="n"/>
      <c r="Q194" s="10" t="n"/>
      <c r="R194" s="18" t="n"/>
      <c r="S194" s="20">
        <f>IF(COUNTA(B194:R194)=0,"",IF((IF(((B194="")+(C194="")+(D194="")+(E194="")+(F194="")+(H194="")+(I194="")+(J194="")+(M194="")+(Q194=""))&gt;0,"• حقول إلزامية ناقصة ","")&amp;IF(AND(D194&lt;&gt;"",COUNTIF($D$6:$D$205,D194)&gt;1),"• اسم المستخدم مكرر ","")&amp;IF(AND(D194&lt;&gt;"",ISNUMBER(SEARCH(" ",D194))),"• اسم المستخدم فيه مسافة ","")&amp;IF(AND(E194&lt;&gt;"",OR(ISERROR(SEARCH("@",E194)),ISERROR(SEARCH(".",E194)))),"• البريد غير صحيح ","")&amp;IF(AND(F194&lt;&gt;"",OR(LEN(F194)&lt;&gt;10,LEFT(F194,2)&lt;&gt;"05",ISERROR(--F194))),"• الجوال ليس بصيغة 05XXXXXXXX ","")&amp;IF(AND(L194&lt;&gt;"",OR(LEN(L194)&lt;2,LEN(L194)&gt;6,ISERROR(--L194),ISNUMBER(SEARCH(".",L194)))),"• التحويلة يجب أن تكون 2-6 أرقام ","")&amp;IF(AND(L194&lt;&gt;"",COUNTIF($L$6:$L$205,L194)&gt;1),"• التحويلة مكررة ","")&amp;IF(AND(M194="نعم",L194=""),"• يجري مكالمات بدون تحويلة ","")&amp;IF(AND(K194&lt;&gt;"",COUNTIF($D$6:$D$205,K194)=0),"• المشرف غير موجود في الجدول ","")&amp;IF(AND(J194="موظف تحصيل",K194=""),"• موظف التحصيل يحتاج مشرفاً ","")&amp;IF(AND(O194&lt;&gt;"",P194=""),"• نوع الهدف بدون قيمة ",""))="","✔ مكتمل",IF(((B194="")+(C194="")+(D194="")+(E194="")+(F194="")+(H194="")+(I194="")+(J194="")+(M194="")+(Q194=""))&gt;0,"• حقول إلزامية ناقصة ","")&amp;IF(AND(D194&lt;&gt;"",COUNTIF($D$6:$D$205,D194)&gt;1),"• اسم المستخدم مكرر ","")&amp;IF(AND(D194&lt;&gt;"",ISNUMBER(SEARCH(" ",D194))),"• اسم المستخدم فيه مسافة ","")&amp;IF(AND(E194&lt;&gt;"",OR(ISERROR(SEARCH("@",E194)),ISERROR(SEARCH(".",E194)))),"• البريد غير صحيح ","")&amp;IF(AND(F194&lt;&gt;"",OR(LEN(F194)&lt;&gt;10,LEFT(F194,2)&lt;&gt;"05",ISERROR(--F194))),"• الجوال ليس بصيغة 05XXXXXXXX ","")&amp;IF(AND(L194&lt;&gt;"",OR(LEN(L194)&lt;2,LEN(L194)&gt;6,ISERROR(--L194),ISNUMBER(SEARCH(".",L194)))),"• التحويلة يجب أن تكون 2-6 أرقام ","")&amp;IF(AND(L194&lt;&gt;"",COUNTIF($L$6:$L$205,L194)&gt;1),"• التحويلة مكررة ","")&amp;IF(AND(M194="نعم",L194=""),"• يجري مكالمات بدون تحويلة ","")&amp;IF(AND(K194&lt;&gt;"",COUNTIF($D$6:$D$205,K194)=0),"• المشرف غير موجود في الجدول ","")&amp;IF(AND(J194="موظف تحصيل",K194=""),"• موظف التحصيل يحتاج مشرفاً ","")&amp;IF(AND(O194&lt;&gt;"",P194=""),"• نوع الهدف بدون قيمة ","")))</f>
        <v/>
      </c>
    </row>
    <row r="195">
      <c r="A195" s="17">
        <f>IF(COUNTA(B195:R195)=0,"",ROW()-5)</f>
        <v/>
      </c>
      <c r="B195" s="18" t="n"/>
      <c r="C195" s="18" t="n"/>
      <c r="D195" s="18" t="n"/>
      <c r="E195" s="18" t="n"/>
      <c r="F195" s="18" t="n"/>
      <c r="G195" s="18" t="n"/>
      <c r="H195" s="10" t="n"/>
      <c r="I195" s="10" t="n"/>
      <c r="J195" s="10" t="n"/>
      <c r="K195" s="10" t="n"/>
      <c r="L195" s="18" t="n"/>
      <c r="M195" s="10" t="n"/>
      <c r="N195" s="18" t="n"/>
      <c r="O195" s="10" t="n"/>
      <c r="P195" s="19" t="n"/>
      <c r="Q195" s="10" t="n"/>
      <c r="R195" s="18" t="n"/>
      <c r="S195" s="20">
        <f>IF(COUNTA(B195:R195)=0,"",IF((IF(((B195="")+(C195="")+(D195="")+(E195="")+(F195="")+(H195="")+(I195="")+(J195="")+(M195="")+(Q195=""))&gt;0,"• حقول إلزامية ناقصة ","")&amp;IF(AND(D195&lt;&gt;"",COUNTIF($D$6:$D$205,D195)&gt;1),"• اسم المستخدم مكرر ","")&amp;IF(AND(D195&lt;&gt;"",ISNUMBER(SEARCH(" ",D195))),"• اسم المستخدم فيه مسافة ","")&amp;IF(AND(E195&lt;&gt;"",OR(ISERROR(SEARCH("@",E195)),ISERROR(SEARCH(".",E195)))),"• البريد غير صحيح ","")&amp;IF(AND(F195&lt;&gt;"",OR(LEN(F195)&lt;&gt;10,LEFT(F195,2)&lt;&gt;"05",ISERROR(--F195))),"• الجوال ليس بصيغة 05XXXXXXXX ","")&amp;IF(AND(L195&lt;&gt;"",OR(LEN(L195)&lt;2,LEN(L195)&gt;6,ISERROR(--L195),ISNUMBER(SEARCH(".",L195)))),"• التحويلة يجب أن تكون 2-6 أرقام ","")&amp;IF(AND(L195&lt;&gt;"",COUNTIF($L$6:$L$205,L195)&gt;1),"• التحويلة مكررة ","")&amp;IF(AND(M195="نعم",L195=""),"• يجري مكالمات بدون تحويلة ","")&amp;IF(AND(K195&lt;&gt;"",COUNTIF($D$6:$D$205,K195)=0),"• المشرف غير موجود في الجدول ","")&amp;IF(AND(J195="موظف تحصيل",K195=""),"• موظف التحصيل يحتاج مشرفاً ","")&amp;IF(AND(O195&lt;&gt;"",P195=""),"• نوع الهدف بدون قيمة ",""))="","✔ مكتمل",IF(((B195="")+(C195="")+(D195="")+(E195="")+(F195="")+(H195="")+(I195="")+(J195="")+(M195="")+(Q195=""))&gt;0,"• حقول إلزامية ناقصة ","")&amp;IF(AND(D195&lt;&gt;"",COUNTIF($D$6:$D$205,D195)&gt;1),"• اسم المستخدم مكرر ","")&amp;IF(AND(D195&lt;&gt;"",ISNUMBER(SEARCH(" ",D195))),"• اسم المستخدم فيه مسافة ","")&amp;IF(AND(E195&lt;&gt;"",OR(ISERROR(SEARCH("@",E195)),ISERROR(SEARCH(".",E195)))),"• البريد غير صحيح ","")&amp;IF(AND(F195&lt;&gt;"",OR(LEN(F195)&lt;&gt;10,LEFT(F195,2)&lt;&gt;"05",ISERROR(--F195))),"• الجوال ليس بصيغة 05XXXXXXXX ","")&amp;IF(AND(L195&lt;&gt;"",OR(LEN(L195)&lt;2,LEN(L195)&gt;6,ISERROR(--L195),ISNUMBER(SEARCH(".",L195)))),"• التحويلة يجب أن تكون 2-6 أرقام ","")&amp;IF(AND(L195&lt;&gt;"",COUNTIF($L$6:$L$205,L195)&gt;1),"• التحويلة مكررة ","")&amp;IF(AND(M195="نعم",L195=""),"• يجري مكالمات بدون تحويلة ","")&amp;IF(AND(K195&lt;&gt;"",COUNTIF($D$6:$D$205,K195)=0),"• المشرف غير موجود في الجدول ","")&amp;IF(AND(J195="موظف تحصيل",K195=""),"• موظف التحصيل يحتاج مشرفاً ","")&amp;IF(AND(O195&lt;&gt;"",P195=""),"• نوع الهدف بدون قيمة ","")))</f>
        <v/>
      </c>
    </row>
    <row r="196">
      <c r="A196" s="17">
        <f>IF(COUNTA(B196:R196)=0,"",ROW()-5)</f>
        <v/>
      </c>
      <c r="B196" s="18" t="n"/>
      <c r="C196" s="18" t="n"/>
      <c r="D196" s="18" t="n"/>
      <c r="E196" s="18" t="n"/>
      <c r="F196" s="18" t="n"/>
      <c r="G196" s="18" t="n"/>
      <c r="H196" s="10" t="n"/>
      <c r="I196" s="10" t="n"/>
      <c r="J196" s="10" t="n"/>
      <c r="K196" s="10" t="n"/>
      <c r="L196" s="18" t="n"/>
      <c r="M196" s="10" t="n"/>
      <c r="N196" s="18" t="n"/>
      <c r="O196" s="10" t="n"/>
      <c r="P196" s="19" t="n"/>
      <c r="Q196" s="10" t="n"/>
      <c r="R196" s="18" t="n"/>
      <c r="S196" s="20">
        <f>IF(COUNTA(B196:R196)=0,"",IF((IF(((B196="")+(C196="")+(D196="")+(E196="")+(F196="")+(H196="")+(I196="")+(J196="")+(M196="")+(Q196=""))&gt;0,"• حقول إلزامية ناقصة ","")&amp;IF(AND(D196&lt;&gt;"",COUNTIF($D$6:$D$205,D196)&gt;1),"• اسم المستخدم مكرر ","")&amp;IF(AND(D196&lt;&gt;"",ISNUMBER(SEARCH(" ",D196))),"• اسم المستخدم فيه مسافة ","")&amp;IF(AND(E196&lt;&gt;"",OR(ISERROR(SEARCH("@",E196)),ISERROR(SEARCH(".",E196)))),"• البريد غير صحيح ","")&amp;IF(AND(F196&lt;&gt;"",OR(LEN(F196)&lt;&gt;10,LEFT(F196,2)&lt;&gt;"05",ISERROR(--F196))),"• الجوال ليس بصيغة 05XXXXXXXX ","")&amp;IF(AND(L196&lt;&gt;"",OR(LEN(L196)&lt;2,LEN(L196)&gt;6,ISERROR(--L196),ISNUMBER(SEARCH(".",L196)))),"• التحويلة يجب أن تكون 2-6 أرقام ","")&amp;IF(AND(L196&lt;&gt;"",COUNTIF($L$6:$L$205,L196)&gt;1),"• التحويلة مكررة ","")&amp;IF(AND(M196="نعم",L196=""),"• يجري مكالمات بدون تحويلة ","")&amp;IF(AND(K196&lt;&gt;"",COUNTIF($D$6:$D$205,K196)=0),"• المشرف غير موجود في الجدول ","")&amp;IF(AND(J196="موظف تحصيل",K196=""),"• موظف التحصيل يحتاج مشرفاً ","")&amp;IF(AND(O196&lt;&gt;"",P196=""),"• نوع الهدف بدون قيمة ",""))="","✔ مكتمل",IF(((B196="")+(C196="")+(D196="")+(E196="")+(F196="")+(H196="")+(I196="")+(J196="")+(M196="")+(Q196=""))&gt;0,"• حقول إلزامية ناقصة ","")&amp;IF(AND(D196&lt;&gt;"",COUNTIF($D$6:$D$205,D196)&gt;1),"• اسم المستخدم مكرر ","")&amp;IF(AND(D196&lt;&gt;"",ISNUMBER(SEARCH(" ",D196))),"• اسم المستخدم فيه مسافة ","")&amp;IF(AND(E196&lt;&gt;"",OR(ISERROR(SEARCH("@",E196)),ISERROR(SEARCH(".",E196)))),"• البريد غير صحيح ","")&amp;IF(AND(F196&lt;&gt;"",OR(LEN(F196)&lt;&gt;10,LEFT(F196,2)&lt;&gt;"05",ISERROR(--F196))),"• الجوال ليس بصيغة 05XXXXXXXX ","")&amp;IF(AND(L196&lt;&gt;"",OR(LEN(L196)&lt;2,LEN(L196)&gt;6,ISERROR(--L196),ISNUMBER(SEARCH(".",L196)))),"• التحويلة يجب أن تكون 2-6 أرقام ","")&amp;IF(AND(L196&lt;&gt;"",COUNTIF($L$6:$L$205,L196)&gt;1),"• التحويلة مكررة ","")&amp;IF(AND(M196="نعم",L196=""),"• يجري مكالمات بدون تحويلة ","")&amp;IF(AND(K196&lt;&gt;"",COUNTIF($D$6:$D$205,K196)=0),"• المشرف غير موجود في الجدول ","")&amp;IF(AND(J196="موظف تحصيل",K196=""),"• موظف التحصيل يحتاج مشرفاً ","")&amp;IF(AND(O196&lt;&gt;"",P196=""),"• نوع الهدف بدون قيمة ","")))</f>
        <v/>
      </c>
    </row>
    <row r="197">
      <c r="A197" s="17">
        <f>IF(COUNTA(B197:R197)=0,"",ROW()-5)</f>
        <v/>
      </c>
      <c r="B197" s="18" t="n"/>
      <c r="C197" s="18" t="n"/>
      <c r="D197" s="18" t="n"/>
      <c r="E197" s="18" t="n"/>
      <c r="F197" s="18" t="n"/>
      <c r="G197" s="18" t="n"/>
      <c r="H197" s="10" t="n"/>
      <c r="I197" s="10" t="n"/>
      <c r="J197" s="10" t="n"/>
      <c r="K197" s="10" t="n"/>
      <c r="L197" s="18" t="n"/>
      <c r="M197" s="10" t="n"/>
      <c r="N197" s="18" t="n"/>
      <c r="O197" s="10" t="n"/>
      <c r="P197" s="19" t="n"/>
      <c r="Q197" s="10" t="n"/>
      <c r="R197" s="18" t="n"/>
      <c r="S197" s="20">
        <f>IF(COUNTA(B197:R197)=0,"",IF((IF(((B197="")+(C197="")+(D197="")+(E197="")+(F197="")+(H197="")+(I197="")+(J197="")+(M197="")+(Q197=""))&gt;0,"• حقول إلزامية ناقصة ","")&amp;IF(AND(D197&lt;&gt;"",COUNTIF($D$6:$D$205,D197)&gt;1),"• اسم المستخدم مكرر ","")&amp;IF(AND(D197&lt;&gt;"",ISNUMBER(SEARCH(" ",D197))),"• اسم المستخدم فيه مسافة ","")&amp;IF(AND(E197&lt;&gt;"",OR(ISERROR(SEARCH("@",E197)),ISERROR(SEARCH(".",E197)))),"• البريد غير صحيح ","")&amp;IF(AND(F197&lt;&gt;"",OR(LEN(F197)&lt;&gt;10,LEFT(F197,2)&lt;&gt;"05",ISERROR(--F197))),"• الجوال ليس بصيغة 05XXXXXXXX ","")&amp;IF(AND(L197&lt;&gt;"",OR(LEN(L197)&lt;2,LEN(L197)&gt;6,ISERROR(--L197),ISNUMBER(SEARCH(".",L197)))),"• التحويلة يجب أن تكون 2-6 أرقام ","")&amp;IF(AND(L197&lt;&gt;"",COUNTIF($L$6:$L$205,L197)&gt;1),"• التحويلة مكررة ","")&amp;IF(AND(M197="نعم",L197=""),"• يجري مكالمات بدون تحويلة ","")&amp;IF(AND(K197&lt;&gt;"",COUNTIF($D$6:$D$205,K197)=0),"• المشرف غير موجود في الجدول ","")&amp;IF(AND(J197="موظف تحصيل",K197=""),"• موظف التحصيل يحتاج مشرفاً ","")&amp;IF(AND(O197&lt;&gt;"",P197=""),"• نوع الهدف بدون قيمة ",""))="","✔ مكتمل",IF(((B197="")+(C197="")+(D197="")+(E197="")+(F197="")+(H197="")+(I197="")+(J197="")+(M197="")+(Q197=""))&gt;0,"• حقول إلزامية ناقصة ","")&amp;IF(AND(D197&lt;&gt;"",COUNTIF($D$6:$D$205,D197)&gt;1),"• اسم المستخدم مكرر ","")&amp;IF(AND(D197&lt;&gt;"",ISNUMBER(SEARCH(" ",D197))),"• اسم المستخدم فيه مسافة ","")&amp;IF(AND(E197&lt;&gt;"",OR(ISERROR(SEARCH("@",E197)),ISERROR(SEARCH(".",E197)))),"• البريد غير صحيح ","")&amp;IF(AND(F197&lt;&gt;"",OR(LEN(F197)&lt;&gt;10,LEFT(F197,2)&lt;&gt;"05",ISERROR(--F197))),"• الجوال ليس بصيغة 05XXXXXXXX ","")&amp;IF(AND(L197&lt;&gt;"",OR(LEN(L197)&lt;2,LEN(L197)&gt;6,ISERROR(--L197),ISNUMBER(SEARCH(".",L197)))),"• التحويلة يجب أن تكون 2-6 أرقام ","")&amp;IF(AND(L197&lt;&gt;"",COUNTIF($L$6:$L$205,L197)&gt;1),"• التحويلة مكررة ","")&amp;IF(AND(M197="نعم",L197=""),"• يجري مكالمات بدون تحويلة ","")&amp;IF(AND(K197&lt;&gt;"",COUNTIF($D$6:$D$205,K197)=0),"• المشرف غير موجود في الجدول ","")&amp;IF(AND(J197="موظف تحصيل",K197=""),"• موظف التحصيل يحتاج مشرفاً ","")&amp;IF(AND(O197&lt;&gt;"",P197=""),"• نوع الهدف بدون قيمة ","")))</f>
        <v/>
      </c>
    </row>
    <row r="198">
      <c r="A198" s="17">
        <f>IF(COUNTA(B198:R198)=0,"",ROW()-5)</f>
        <v/>
      </c>
      <c r="B198" s="18" t="n"/>
      <c r="C198" s="18" t="n"/>
      <c r="D198" s="18" t="n"/>
      <c r="E198" s="18" t="n"/>
      <c r="F198" s="18" t="n"/>
      <c r="G198" s="18" t="n"/>
      <c r="H198" s="10" t="n"/>
      <c r="I198" s="10" t="n"/>
      <c r="J198" s="10" t="n"/>
      <c r="K198" s="10" t="n"/>
      <c r="L198" s="18" t="n"/>
      <c r="M198" s="10" t="n"/>
      <c r="N198" s="18" t="n"/>
      <c r="O198" s="10" t="n"/>
      <c r="P198" s="19" t="n"/>
      <c r="Q198" s="10" t="n"/>
      <c r="R198" s="18" t="n"/>
      <c r="S198" s="20">
        <f>IF(COUNTA(B198:R198)=0,"",IF((IF(((B198="")+(C198="")+(D198="")+(E198="")+(F198="")+(H198="")+(I198="")+(J198="")+(M198="")+(Q198=""))&gt;0,"• حقول إلزامية ناقصة ","")&amp;IF(AND(D198&lt;&gt;"",COUNTIF($D$6:$D$205,D198)&gt;1),"• اسم المستخدم مكرر ","")&amp;IF(AND(D198&lt;&gt;"",ISNUMBER(SEARCH(" ",D198))),"• اسم المستخدم فيه مسافة ","")&amp;IF(AND(E198&lt;&gt;"",OR(ISERROR(SEARCH("@",E198)),ISERROR(SEARCH(".",E198)))),"• البريد غير صحيح ","")&amp;IF(AND(F198&lt;&gt;"",OR(LEN(F198)&lt;&gt;10,LEFT(F198,2)&lt;&gt;"05",ISERROR(--F198))),"• الجوال ليس بصيغة 05XXXXXXXX ","")&amp;IF(AND(L198&lt;&gt;"",OR(LEN(L198)&lt;2,LEN(L198)&gt;6,ISERROR(--L198),ISNUMBER(SEARCH(".",L198)))),"• التحويلة يجب أن تكون 2-6 أرقام ","")&amp;IF(AND(L198&lt;&gt;"",COUNTIF($L$6:$L$205,L198)&gt;1),"• التحويلة مكررة ","")&amp;IF(AND(M198="نعم",L198=""),"• يجري مكالمات بدون تحويلة ","")&amp;IF(AND(K198&lt;&gt;"",COUNTIF($D$6:$D$205,K198)=0),"• المشرف غير موجود في الجدول ","")&amp;IF(AND(J198="موظف تحصيل",K198=""),"• موظف التحصيل يحتاج مشرفاً ","")&amp;IF(AND(O198&lt;&gt;"",P198=""),"• نوع الهدف بدون قيمة ",""))="","✔ مكتمل",IF(((B198="")+(C198="")+(D198="")+(E198="")+(F198="")+(H198="")+(I198="")+(J198="")+(M198="")+(Q198=""))&gt;0,"• حقول إلزامية ناقصة ","")&amp;IF(AND(D198&lt;&gt;"",COUNTIF($D$6:$D$205,D198)&gt;1),"• اسم المستخدم مكرر ","")&amp;IF(AND(D198&lt;&gt;"",ISNUMBER(SEARCH(" ",D198))),"• اسم المستخدم فيه مسافة ","")&amp;IF(AND(E198&lt;&gt;"",OR(ISERROR(SEARCH("@",E198)),ISERROR(SEARCH(".",E198)))),"• البريد غير صحيح ","")&amp;IF(AND(F198&lt;&gt;"",OR(LEN(F198)&lt;&gt;10,LEFT(F198,2)&lt;&gt;"05",ISERROR(--F198))),"• الجوال ليس بصيغة 05XXXXXXXX ","")&amp;IF(AND(L198&lt;&gt;"",OR(LEN(L198)&lt;2,LEN(L198)&gt;6,ISERROR(--L198),ISNUMBER(SEARCH(".",L198)))),"• التحويلة يجب أن تكون 2-6 أرقام ","")&amp;IF(AND(L198&lt;&gt;"",COUNTIF($L$6:$L$205,L198)&gt;1),"• التحويلة مكررة ","")&amp;IF(AND(M198="نعم",L198=""),"• يجري مكالمات بدون تحويلة ","")&amp;IF(AND(K198&lt;&gt;"",COUNTIF($D$6:$D$205,K198)=0),"• المشرف غير موجود في الجدول ","")&amp;IF(AND(J198="موظف تحصيل",K198=""),"• موظف التحصيل يحتاج مشرفاً ","")&amp;IF(AND(O198&lt;&gt;"",P198=""),"• نوع الهدف بدون قيمة ","")))</f>
        <v/>
      </c>
    </row>
    <row r="199">
      <c r="A199" s="17">
        <f>IF(COUNTA(B199:R199)=0,"",ROW()-5)</f>
        <v/>
      </c>
      <c r="B199" s="18" t="n"/>
      <c r="C199" s="18" t="n"/>
      <c r="D199" s="18" t="n"/>
      <c r="E199" s="18" t="n"/>
      <c r="F199" s="18" t="n"/>
      <c r="G199" s="18" t="n"/>
      <c r="H199" s="10" t="n"/>
      <c r="I199" s="10" t="n"/>
      <c r="J199" s="10" t="n"/>
      <c r="K199" s="10" t="n"/>
      <c r="L199" s="18" t="n"/>
      <c r="M199" s="10" t="n"/>
      <c r="N199" s="18" t="n"/>
      <c r="O199" s="10" t="n"/>
      <c r="P199" s="19" t="n"/>
      <c r="Q199" s="10" t="n"/>
      <c r="R199" s="18" t="n"/>
      <c r="S199" s="20">
        <f>IF(COUNTA(B199:R199)=0,"",IF((IF(((B199="")+(C199="")+(D199="")+(E199="")+(F199="")+(H199="")+(I199="")+(J199="")+(M199="")+(Q199=""))&gt;0,"• حقول إلزامية ناقصة ","")&amp;IF(AND(D199&lt;&gt;"",COUNTIF($D$6:$D$205,D199)&gt;1),"• اسم المستخدم مكرر ","")&amp;IF(AND(D199&lt;&gt;"",ISNUMBER(SEARCH(" ",D199))),"• اسم المستخدم فيه مسافة ","")&amp;IF(AND(E199&lt;&gt;"",OR(ISERROR(SEARCH("@",E199)),ISERROR(SEARCH(".",E199)))),"• البريد غير صحيح ","")&amp;IF(AND(F199&lt;&gt;"",OR(LEN(F199)&lt;&gt;10,LEFT(F199,2)&lt;&gt;"05",ISERROR(--F199))),"• الجوال ليس بصيغة 05XXXXXXXX ","")&amp;IF(AND(L199&lt;&gt;"",OR(LEN(L199)&lt;2,LEN(L199)&gt;6,ISERROR(--L199),ISNUMBER(SEARCH(".",L199)))),"• التحويلة يجب أن تكون 2-6 أرقام ","")&amp;IF(AND(L199&lt;&gt;"",COUNTIF($L$6:$L$205,L199)&gt;1),"• التحويلة مكررة ","")&amp;IF(AND(M199="نعم",L199=""),"• يجري مكالمات بدون تحويلة ","")&amp;IF(AND(K199&lt;&gt;"",COUNTIF($D$6:$D$205,K199)=0),"• المشرف غير موجود في الجدول ","")&amp;IF(AND(J199="موظف تحصيل",K199=""),"• موظف التحصيل يحتاج مشرفاً ","")&amp;IF(AND(O199&lt;&gt;"",P199=""),"• نوع الهدف بدون قيمة ",""))="","✔ مكتمل",IF(((B199="")+(C199="")+(D199="")+(E199="")+(F199="")+(H199="")+(I199="")+(J199="")+(M199="")+(Q199=""))&gt;0,"• حقول إلزامية ناقصة ","")&amp;IF(AND(D199&lt;&gt;"",COUNTIF($D$6:$D$205,D199)&gt;1),"• اسم المستخدم مكرر ","")&amp;IF(AND(D199&lt;&gt;"",ISNUMBER(SEARCH(" ",D199))),"• اسم المستخدم فيه مسافة ","")&amp;IF(AND(E199&lt;&gt;"",OR(ISERROR(SEARCH("@",E199)),ISERROR(SEARCH(".",E199)))),"• البريد غير صحيح ","")&amp;IF(AND(F199&lt;&gt;"",OR(LEN(F199)&lt;&gt;10,LEFT(F199,2)&lt;&gt;"05",ISERROR(--F199))),"• الجوال ليس بصيغة 05XXXXXXXX ","")&amp;IF(AND(L199&lt;&gt;"",OR(LEN(L199)&lt;2,LEN(L199)&gt;6,ISERROR(--L199),ISNUMBER(SEARCH(".",L199)))),"• التحويلة يجب أن تكون 2-6 أرقام ","")&amp;IF(AND(L199&lt;&gt;"",COUNTIF($L$6:$L$205,L199)&gt;1),"• التحويلة مكررة ","")&amp;IF(AND(M199="نعم",L199=""),"• يجري مكالمات بدون تحويلة ","")&amp;IF(AND(K199&lt;&gt;"",COUNTIF($D$6:$D$205,K199)=0),"• المشرف غير موجود في الجدول ","")&amp;IF(AND(J199="موظف تحصيل",K199=""),"• موظف التحصيل يحتاج مشرفاً ","")&amp;IF(AND(O199&lt;&gt;"",P199=""),"• نوع الهدف بدون قيمة ","")))</f>
        <v/>
      </c>
    </row>
    <row r="200">
      <c r="A200" s="17">
        <f>IF(COUNTA(B200:R200)=0,"",ROW()-5)</f>
        <v/>
      </c>
      <c r="B200" s="18" t="n"/>
      <c r="C200" s="18" t="n"/>
      <c r="D200" s="18" t="n"/>
      <c r="E200" s="18" t="n"/>
      <c r="F200" s="18" t="n"/>
      <c r="G200" s="18" t="n"/>
      <c r="H200" s="10" t="n"/>
      <c r="I200" s="10" t="n"/>
      <c r="J200" s="10" t="n"/>
      <c r="K200" s="10" t="n"/>
      <c r="L200" s="18" t="n"/>
      <c r="M200" s="10" t="n"/>
      <c r="N200" s="18" t="n"/>
      <c r="O200" s="10" t="n"/>
      <c r="P200" s="19" t="n"/>
      <c r="Q200" s="10" t="n"/>
      <c r="R200" s="18" t="n"/>
      <c r="S200" s="20">
        <f>IF(COUNTA(B200:R200)=0,"",IF((IF(((B200="")+(C200="")+(D200="")+(E200="")+(F200="")+(H200="")+(I200="")+(J200="")+(M200="")+(Q200=""))&gt;0,"• حقول إلزامية ناقصة ","")&amp;IF(AND(D200&lt;&gt;"",COUNTIF($D$6:$D$205,D200)&gt;1),"• اسم المستخدم مكرر ","")&amp;IF(AND(D200&lt;&gt;"",ISNUMBER(SEARCH(" ",D200))),"• اسم المستخدم فيه مسافة ","")&amp;IF(AND(E200&lt;&gt;"",OR(ISERROR(SEARCH("@",E200)),ISERROR(SEARCH(".",E200)))),"• البريد غير صحيح ","")&amp;IF(AND(F200&lt;&gt;"",OR(LEN(F200)&lt;&gt;10,LEFT(F200,2)&lt;&gt;"05",ISERROR(--F200))),"• الجوال ليس بصيغة 05XXXXXXXX ","")&amp;IF(AND(L200&lt;&gt;"",OR(LEN(L200)&lt;2,LEN(L200)&gt;6,ISERROR(--L200),ISNUMBER(SEARCH(".",L200)))),"• التحويلة يجب أن تكون 2-6 أرقام ","")&amp;IF(AND(L200&lt;&gt;"",COUNTIF($L$6:$L$205,L200)&gt;1),"• التحويلة مكررة ","")&amp;IF(AND(M200="نعم",L200=""),"• يجري مكالمات بدون تحويلة ","")&amp;IF(AND(K200&lt;&gt;"",COUNTIF($D$6:$D$205,K200)=0),"• المشرف غير موجود في الجدول ","")&amp;IF(AND(J200="موظف تحصيل",K200=""),"• موظف التحصيل يحتاج مشرفاً ","")&amp;IF(AND(O200&lt;&gt;"",P200=""),"• نوع الهدف بدون قيمة ",""))="","✔ مكتمل",IF(((B200="")+(C200="")+(D200="")+(E200="")+(F200="")+(H200="")+(I200="")+(J200="")+(M200="")+(Q200=""))&gt;0,"• حقول إلزامية ناقصة ","")&amp;IF(AND(D200&lt;&gt;"",COUNTIF($D$6:$D$205,D200)&gt;1),"• اسم المستخدم مكرر ","")&amp;IF(AND(D200&lt;&gt;"",ISNUMBER(SEARCH(" ",D200))),"• اسم المستخدم فيه مسافة ","")&amp;IF(AND(E200&lt;&gt;"",OR(ISERROR(SEARCH("@",E200)),ISERROR(SEARCH(".",E200)))),"• البريد غير صحيح ","")&amp;IF(AND(F200&lt;&gt;"",OR(LEN(F200)&lt;&gt;10,LEFT(F200,2)&lt;&gt;"05",ISERROR(--F200))),"• الجوال ليس بصيغة 05XXXXXXXX ","")&amp;IF(AND(L200&lt;&gt;"",OR(LEN(L200)&lt;2,LEN(L200)&gt;6,ISERROR(--L200),ISNUMBER(SEARCH(".",L200)))),"• التحويلة يجب أن تكون 2-6 أرقام ","")&amp;IF(AND(L200&lt;&gt;"",COUNTIF($L$6:$L$205,L200)&gt;1),"• التحويلة مكررة ","")&amp;IF(AND(M200="نعم",L200=""),"• يجري مكالمات بدون تحويلة ","")&amp;IF(AND(K200&lt;&gt;"",COUNTIF($D$6:$D$205,K200)=0),"• المشرف غير موجود في الجدول ","")&amp;IF(AND(J200="موظف تحصيل",K200=""),"• موظف التحصيل يحتاج مشرفاً ","")&amp;IF(AND(O200&lt;&gt;"",P200=""),"• نوع الهدف بدون قيمة ","")))</f>
        <v/>
      </c>
    </row>
    <row r="201">
      <c r="A201" s="17">
        <f>IF(COUNTA(B201:R201)=0,"",ROW()-5)</f>
        <v/>
      </c>
      <c r="B201" s="18" t="n"/>
      <c r="C201" s="18" t="n"/>
      <c r="D201" s="18" t="n"/>
      <c r="E201" s="18" t="n"/>
      <c r="F201" s="18" t="n"/>
      <c r="G201" s="18" t="n"/>
      <c r="H201" s="10" t="n"/>
      <c r="I201" s="10" t="n"/>
      <c r="J201" s="10" t="n"/>
      <c r="K201" s="10" t="n"/>
      <c r="L201" s="18" t="n"/>
      <c r="M201" s="10" t="n"/>
      <c r="N201" s="18" t="n"/>
      <c r="O201" s="10" t="n"/>
      <c r="P201" s="19" t="n"/>
      <c r="Q201" s="10" t="n"/>
      <c r="R201" s="18" t="n"/>
      <c r="S201" s="20">
        <f>IF(COUNTA(B201:R201)=0,"",IF((IF(((B201="")+(C201="")+(D201="")+(E201="")+(F201="")+(H201="")+(I201="")+(J201="")+(M201="")+(Q201=""))&gt;0,"• حقول إلزامية ناقصة ","")&amp;IF(AND(D201&lt;&gt;"",COUNTIF($D$6:$D$205,D201)&gt;1),"• اسم المستخدم مكرر ","")&amp;IF(AND(D201&lt;&gt;"",ISNUMBER(SEARCH(" ",D201))),"• اسم المستخدم فيه مسافة ","")&amp;IF(AND(E201&lt;&gt;"",OR(ISERROR(SEARCH("@",E201)),ISERROR(SEARCH(".",E201)))),"• البريد غير صحيح ","")&amp;IF(AND(F201&lt;&gt;"",OR(LEN(F201)&lt;&gt;10,LEFT(F201,2)&lt;&gt;"05",ISERROR(--F201))),"• الجوال ليس بصيغة 05XXXXXXXX ","")&amp;IF(AND(L201&lt;&gt;"",OR(LEN(L201)&lt;2,LEN(L201)&gt;6,ISERROR(--L201),ISNUMBER(SEARCH(".",L201)))),"• التحويلة يجب أن تكون 2-6 أرقام ","")&amp;IF(AND(L201&lt;&gt;"",COUNTIF($L$6:$L$205,L201)&gt;1),"• التحويلة مكررة ","")&amp;IF(AND(M201="نعم",L201=""),"• يجري مكالمات بدون تحويلة ","")&amp;IF(AND(K201&lt;&gt;"",COUNTIF($D$6:$D$205,K201)=0),"• المشرف غير موجود في الجدول ","")&amp;IF(AND(J201="موظف تحصيل",K201=""),"• موظف التحصيل يحتاج مشرفاً ","")&amp;IF(AND(O201&lt;&gt;"",P201=""),"• نوع الهدف بدون قيمة ",""))="","✔ مكتمل",IF(((B201="")+(C201="")+(D201="")+(E201="")+(F201="")+(H201="")+(I201="")+(J201="")+(M201="")+(Q201=""))&gt;0,"• حقول إلزامية ناقصة ","")&amp;IF(AND(D201&lt;&gt;"",COUNTIF($D$6:$D$205,D201)&gt;1),"• اسم المستخدم مكرر ","")&amp;IF(AND(D201&lt;&gt;"",ISNUMBER(SEARCH(" ",D201))),"• اسم المستخدم فيه مسافة ","")&amp;IF(AND(E201&lt;&gt;"",OR(ISERROR(SEARCH("@",E201)),ISERROR(SEARCH(".",E201)))),"• البريد غير صحيح ","")&amp;IF(AND(F201&lt;&gt;"",OR(LEN(F201)&lt;&gt;10,LEFT(F201,2)&lt;&gt;"05",ISERROR(--F201))),"• الجوال ليس بصيغة 05XXXXXXXX ","")&amp;IF(AND(L201&lt;&gt;"",OR(LEN(L201)&lt;2,LEN(L201)&gt;6,ISERROR(--L201),ISNUMBER(SEARCH(".",L201)))),"• التحويلة يجب أن تكون 2-6 أرقام ","")&amp;IF(AND(L201&lt;&gt;"",COUNTIF($L$6:$L$205,L201)&gt;1),"• التحويلة مكررة ","")&amp;IF(AND(M201="نعم",L201=""),"• يجري مكالمات بدون تحويلة ","")&amp;IF(AND(K201&lt;&gt;"",COUNTIF($D$6:$D$205,K201)=0),"• المشرف غير موجود في الجدول ","")&amp;IF(AND(J201="موظف تحصيل",K201=""),"• موظف التحصيل يحتاج مشرفاً ","")&amp;IF(AND(O201&lt;&gt;"",P201=""),"• نوع الهدف بدون قيمة ","")))</f>
        <v/>
      </c>
    </row>
    <row r="202">
      <c r="A202" s="17">
        <f>IF(COUNTA(B202:R202)=0,"",ROW()-5)</f>
        <v/>
      </c>
      <c r="B202" s="18" t="n"/>
      <c r="C202" s="18" t="n"/>
      <c r="D202" s="18" t="n"/>
      <c r="E202" s="18" t="n"/>
      <c r="F202" s="18" t="n"/>
      <c r="G202" s="18" t="n"/>
      <c r="H202" s="10" t="n"/>
      <c r="I202" s="10" t="n"/>
      <c r="J202" s="10" t="n"/>
      <c r="K202" s="10" t="n"/>
      <c r="L202" s="18" t="n"/>
      <c r="M202" s="10" t="n"/>
      <c r="N202" s="18" t="n"/>
      <c r="O202" s="10" t="n"/>
      <c r="P202" s="19" t="n"/>
      <c r="Q202" s="10" t="n"/>
      <c r="R202" s="18" t="n"/>
      <c r="S202" s="20">
        <f>IF(COUNTA(B202:R202)=0,"",IF((IF(((B202="")+(C202="")+(D202="")+(E202="")+(F202="")+(H202="")+(I202="")+(J202="")+(M202="")+(Q202=""))&gt;0,"• حقول إلزامية ناقصة ","")&amp;IF(AND(D202&lt;&gt;"",COUNTIF($D$6:$D$205,D202)&gt;1),"• اسم المستخدم مكرر ","")&amp;IF(AND(D202&lt;&gt;"",ISNUMBER(SEARCH(" ",D202))),"• اسم المستخدم فيه مسافة ","")&amp;IF(AND(E202&lt;&gt;"",OR(ISERROR(SEARCH("@",E202)),ISERROR(SEARCH(".",E202)))),"• البريد غير صحيح ","")&amp;IF(AND(F202&lt;&gt;"",OR(LEN(F202)&lt;&gt;10,LEFT(F202,2)&lt;&gt;"05",ISERROR(--F202))),"• الجوال ليس بصيغة 05XXXXXXXX ","")&amp;IF(AND(L202&lt;&gt;"",OR(LEN(L202)&lt;2,LEN(L202)&gt;6,ISERROR(--L202),ISNUMBER(SEARCH(".",L202)))),"• التحويلة يجب أن تكون 2-6 أرقام ","")&amp;IF(AND(L202&lt;&gt;"",COUNTIF($L$6:$L$205,L202)&gt;1),"• التحويلة مكررة ","")&amp;IF(AND(M202="نعم",L202=""),"• يجري مكالمات بدون تحويلة ","")&amp;IF(AND(K202&lt;&gt;"",COUNTIF($D$6:$D$205,K202)=0),"• المشرف غير موجود في الجدول ","")&amp;IF(AND(J202="موظف تحصيل",K202=""),"• موظف التحصيل يحتاج مشرفاً ","")&amp;IF(AND(O202&lt;&gt;"",P202=""),"• نوع الهدف بدون قيمة ",""))="","✔ مكتمل",IF(((B202="")+(C202="")+(D202="")+(E202="")+(F202="")+(H202="")+(I202="")+(J202="")+(M202="")+(Q202=""))&gt;0,"• حقول إلزامية ناقصة ","")&amp;IF(AND(D202&lt;&gt;"",COUNTIF($D$6:$D$205,D202)&gt;1),"• اسم المستخدم مكرر ","")&amp;IF(AND(D202&lt;&gt;"",ISNUMBER(SEARCH(" ",D202))),"• اسم المستخدم فيه مسافة ","")&amp;IF(AND(E202&lt;&gt;"",OR(ISERROR(SEARCH("@",E202)),ISERROR(SEARCH(".",E202)))),"• البريد غير صحيح ","")&amp;IF(AND(F202&lt;&gt;"",OR(LEN(F202)&lt;&gt;10,LEFT(F202,2)&lt;&gt;"05",ISERROR(--F202))),"• الجوال ليس بصيغة 05XXXXXXXX ","")&amp;IF(AND(L202&lt;&gt;"",OR(LEN(L202)&lt;2,LEN(L202)&gt;6,ISERROR(--L202),ISNUMBER(SEARCH(".",L202)))),"• التحويلة يجب أن تكون 2-6 أرقام ","")&amp;IF(AND(L202&lt;&gt;"",COUNTIF($L$6:$L$205,L202)&gt;1),"• التحويلة مكررة ","")&amp;IF(AND(M202="نعم",L202=""),"• يجري مكالمات بدون تحويلة ","")&amp;IF(AND(K202&lt;&gt;"",COUNTIF($D$6:$D$205,K202)=0),"• المشرف غير موجود في الجدول ","")&amp;IF(AND(J202="موظف تحصيل",K202=""),"• موظف التحصيل يحتاج مشرفاً ","")&amp;IF(AND(O202&lt;&gt;"",P202=""),"• نوع الهدف بدون قيمة ","")))</f>
        <v/>
      </c>
    </row>
    <row r="203">
      <c r="A203" s="17">
        <f>IF(COUNTA(B203:R203)=0,"",ROW()-5)</f>
        <v/>
      </c>
      <c r="B203" s="18" t="n"/>
      <c r="C203" s="18" t="n"/>
      <c r="D203" s="18" t="n"/>
      <c r="E203" s="18" t="n"/>
      <c r="F203" s="18" t="n"/>
      <c r="G203" s="18" t="n"/>
      <c r="H203" s="10" t="n"/>
      <c r="I203" s="10" t="n"/>
      <c r="J203" s="10" t="n"/>
      <c r="K203" s="10" t="n"/>
      <c r="L203" s="18" t="n"/>
      <c r="M203" s="10" t="n"/>
      <c r="N203" s="18" t="n"/>
      <c r="O203" s="10" t="n"/>
      <c r="P203" s="19" t="n"/>
      <c r="Q203" s="10" t="n"/>
      <c r="R203" s="18" t="n"/>
      <c r="S203" s="20">
        <f>IF(COUNTA(B203:R203)=0,"",IF((IF(((B203="")+(C203="")+(D203="")+(E203="")+(F203="")+(H203="")+(I203="")+(J203="")+(M203="")+(Q203=""))&gt;0,"• حقول إلزامية ناقصة ","")&amp;IF(AND(D203&lt;&gt;"",COUNTIF($D$6:$D$205,D203)&gt;1),"• اسم المستخدم مكرر ","")&amp;IF(AND(D203&lt;&gt;"",ISNUMBER(SEARCH(" ",D203))),"• اسم المستخدم فيه مسافة ","")&amp;IF(AND(E203&lt;&gt;"",OR(ISERROR(SEARCH("@",E203)),ISERROR(SEARCH(".",E203)))),"• البريد غير صحيح ","")&amp;IF(AND(F203&lt;&gt;"",OR(LEN(F203)&lt;&gt;10,LEFT(F203,2)&lt;&gt;"05",ISERROR(--F203))),"• الجوال ليس بصيغة 05XXXXXXXX ","")&amp;IF(AND(L203&lt;&gt;"",OR(LEN(L203)&lt;2,LEN(L203)&gt;6,ISERROR(--L203),ISNUMBER(SEARCH(".",L203)))),"• التحويلة يجب أن تكون 2-6 أرقام ","")&amp;IF(AND(L203&lt;&gt;"",COUNTIF($L$6:$L$205,L203)&gt;1),"• التحويلة مكررة ","")&amp;IF(AND(M203="نعم",L203=""),"• يجري مكالمات بدون تحويلة ","")&amp;IF(AND(K203&lt;&gt;"",COUNTIF($D$6:$D$205,K203)=0),"• المشرف غير موجود في الجدول ","")&amp;IF(AND(J203="موظف تحصيل",K203=""),"• موظف التحصيل يحتاج مشرفاً ","")&amp;IF(AND(O203&lt;&gt;"",P203=""),"• نوع الهدف بدون قيمة ",""))="","✔ مكتمل",IF(((B203="")+(C203="")+(D203="")+(E203="")+(F203="")+(H203="")+(I203="")+(J203="")+(M203="")+(Q203=""))&gt;0,"• حقول إلزامية ناقصة ","")&amp;IF(AND(D203&lt;&gt;"",COUNTIF($D$6:$D$205,D203)&gt;1),"• اسم المستخدم مكرر ","")&amp;IF(AND(D203&lt;&gt;"",ISNUMBER(SEARCH(" ",D203))),"• اسم المستخدم فيه مسافة ","")&amp;IF(AND(E203&lt;&gt;"",OR(ISERROR(SEARCH("@",E203)),ISERROR(SEARCH(".",E203)))),"• البريد غير صحيح ","")&amp;IF(AND(F203&lt;&gt;"",OR(LEN(F203)&lt;&gt;10,LEFT(F203,2)&lt;&gt;"05",ISERROR(--F203))),"• الجوال ليس بصيغة 05XXXXXXXX ","")&amp;IF(AND(L203&lt;&gt;"",OR(LEN(L203)&lt;2,LEN(L203)&gt;6,ISERROR(--L203),ISNUMBER(SEARCH(".",L203)))),"• التحويلة يجب أن تكون 2-6 أرقام ","")&amp;IF(AND(L203&lt;&gt;"",COUNTIF($L$6:$L$205,L203)&gt;1),"• التحويلة مكررة ","")&amp;IF(AND(M203="نعم",L203=""),"• يجري مكالمات بدون تحويلة ","")&amp;IF(AND(K203&lt;&gt;"",COUNTIF($D$6:$D$205,K203)=0),"• المشرف غير موجود في الجدول ","")&amp;IF(AND(J203="موظف تحصيل",K203=""),"• موظف التحصيل يحتاج مشرفاً ","")&amp;IF(AND(O203&lt;&gt;"",P203=""),"• نوع الهدف بدون قيمة ","")))</f>
        <v/>
      </c>
    </row>
    <row r="204">
      <c r="A204" s="17">
        <f>IF(COUNTA(B204:R204)=0,"",ROW()-5)</f>
        <v/>
      </c>
      <c r="B204" s="18" t="n"/>
      <c r="C204" s="18" t="n"/>
      <c r="D204" s="18" t="n"/>
      <c r="E204" s="18" t="n"/>
      <c r="F204" s="18" t="n"/>
      <c r="G204" s="18" t="n"/>
      <c r="H204" s="10" t="n"/>
      <c r="I204" s="10" t="n"/>
      <c r="J204" s="10" t="n"/>
      <c r="K204" s="10" t="n"/>
      <c r="L204" s="18" t="n"/>
      <c r="M204" s="10" t="n"/>
      <c r="N204" s="18" t="n"/>
      <c r="O204" s="10" t="n"/>
      <c r="P204" s="19" t="n"/>
      <c r="Q204" s="10" t="n"/>
      <c r="R204" s="18" t="n"/>
      <c r="S204" s="20">
        <f>IF(COUNTA(B204:R204)=0,"",IF((IF(((B204="")+(C204="")+(D204="")+(E204="")+(F204="")+(H204="")+(I204="")+(J204="")+(M204="")+(Q204=""))&gt;0,"• حقول إلزامية ناقصة ","")&amp;IF(AND(D204&lt;&gt;"",COUNTIF($D$6:$D$205,D204)&gt;1),"• اسم المستخدم مكرر ","")&amp;IF(AND(D204&lt;&gt;"",ISNUMBER(SEARCH(" ",D204))),"• اسم المستخدم فيه مسافة ","")&amp;IF(AND(E204&lt;&gt;"",OR(ISERROR(SEARCH("@",E204)),ISERROR(SEARCH(".",E204)))),"• البريد غير صحيح ","")&amp;IF(AND(F204&lt;&gt;"",OR(LEN(F204)&lt;&gt;10,LEFT(F204,2)&lt;&gt;"05",ISERROR(--F204))),"• الجوال ليس بصيغة 05XXXXXXXX ","")&amp;IF(AND(L204&lt;&gt;"",OR(LEN(L204)&lt;2,LEN(L204)&gt;6,ISERROR(--L204),ISNUMBER(SEARCH(".",L204)))),"• التحويلة يجب أن تكون 2-6 أرقام ","")&amp;IF(AND(L204&lt;&gt;"",COUNTIF($L$6:$L$205,L204)&gt;1),"• التحويلة مكررة ","")&amp;IF(AND(M204="نعم",L204=""),"• يجري مكالمات بدون تحويلة ","")&amp;IF(AND(K204&lt;&gt;"",COUNTIF($D$6:$D$205,K204)=0),"• المشرف غير موجود في الجدول ","")&amp;IF(AND(J204="موظف تحصيل",K204=""),"• موظف التحصيل يحتاج مشرفاً ","")&amp;IF(AND(O204&lt;&gt;"",P204=""),"• نوع الهدف بدون قيمة ",""))="","✔ مكتمل",IF(((B204="")+(C204="")+(D204="")+(E204="")+(F204="")+(H204="")+(I204="")+(J204="")+(M204="")+(Q204=""))&gt;0,"• حقول إلزامية ناقصة ","")&amp;IF(AND(D204&lt;&gt;"",COUNTIF($D$6:$D$205,D204)&gt;1),"• اسم المستخدم مكرر ","")&amp;IF(AND(D204&lt;&gt;"",ISNUMBER(SEARCH(" ",D204))),"• اسم المستخدم فيه مسافة ","")&amp;IF(AND(E204&lt;&gt;"",OR(ISERROR(SEARCH("@",E204)),ISERROR(SEARCH(".",E204)))),"• البريد غير صحيح ","")&amp;IF(AND(F204&lt;&gt;"",OR(LEN(F204)&lt;&gt;10,LEFT(F204,2)&lt;&gt;"05",ISERROR(--F204))),"• الجوال ليس بصيغة 05XXXXXXXX ","")&amp;IF(AND(L204&lt;&gt;"",OR(LEN(L204)&lt;2,LEN(L204)&gt;6,ISERROR(--L204),ISNUMBER(SEARCH(".",L204)))),"• التحويلة يجب أن تكون 2-6 أرقام ","")&amp;IF(AND(L204&lt;&gt;"",COUNTIF($L$6:$L$205,L204)&gt;1),"• التحويلة مكررة ","")&amp;IF(AND(M204="نعم",L204=""),"• يجري مكالمات بدون تحويلة ","")&amp;IF(AND(K204&lt;&gt;"",COUNTIF($D$6:$D$205,K204)=0),"• المشرف غير موجود في الجدول ","")&amp;IF(AND(J204="موظف تحصيل",K204=""),"• موظف التحصيل يحتاج مشرفاً ","")&amp;IF(AND(O204&lt;&gt;"",P204=""),"• نوع الهدف بدون قيمة ","")))</f>
        <v/>
      </c>
    </row>
    <row r="205">
      <c r="A205" s="17">
        <f>IF(COUNTA(B205:R205)=0,"",ROW()-5)</f>
        <v/>
      </c>
      <c r="B205" s="18" t="n"/>
      <c r="C205" s="18" t="n"/>
      <c r="D205" s="18" t="n"/>
      <c r="E205" s="18" t="n"/>
      <c r="F205" s="18" t="n"/>
      <c r="G205" s="18" t="n"/>
      <c r="H205" s="10" t="n"/>
      <c r="I205" s="10" t="n"/>
      <c r="J205" s="10" t="n"/>
      <c r="K205" s="10" t="n"/>
      <c r="L205" s="18" t="n"/>
      <c r="M205" s="10" t="n"/>
      <c r="N205" s="18" t="n"/>
      <c r="O205" s="10" t="n"/>
      <c r="P205" s="19" t="n"/>
      <c r="Q205" s="10" t="n"/>
      <c r="R205" s="18" t="n"/>
      <c r="S205" s="20">
        <f>IF(COUNTA(B205:R205)=0,"",IF((IF(((B205="")+(C205="")+(D205="")+(E205="")+(F205="")+(H205="")+(I205="")+(J205="")+(M205="")+(Q205=""))&gt;0,"• حقول إلزامية ناقصة ","")&amp;IF(AND(D205&lt;&gt;"",COUNTIF($D$6:$D$205,D205)&gt;1),"• اسم المستخدم مكرر ","")&amp;IF(AND(D205&lt;&gt;"",ISNUMBER(SEARCH(" ",D205))),"• اسم المستخدم فيه مسافة ","")&amp;IF(AND(E205&lt;&gt;"",OR(ISERROR(SEARCH("@",E205)),ISERROR(SEARCH(".",E205)))),"• البريد غير صحيح ","")&amp;IF(AND(F205&lt;&gt;"",OR(LEN(F205)&lt;&gt;10,LEFT(F205,2)&lt;&gt;"05",ISERROR(--F205))),"• الجوال ليس بصيغة 05XXXXXXXX ","")&amp;IF(AND(L205&lt;&gt;"",OR(LEN(L205)&lt;2,LEN(L205)&gt;6,ISERROR(--L205),ISNUMBER(SEARCH(".",L205)))),"• التحويلة يجب أن تكون 2-6 أرقام ","")&amp;IF(AND(L205&lt;&gt;"",COUNTIF($L$6:$L$205,L205)&gt;1),"• التحويلة مكررة ","")&amp;IF(AND(M205="نعم",L205=""),"• يجري مكالمات بدون تحويلة ","")&amp;IF(AND(K205&lt;&gt;"",COUNTIF($D$6:$D$205,K205)=0),"• المشرف غير موجود في الجدول ","")&amp;IF(AND(J205="موظف تحصيل",K205=""),"• موظف التحصيل يحتاج مشرفاً ","")&amp;IF(AND(O205&lt;&gt;"",P205=""),"• نوع الهدف بدون قيمة ",""))="","✔ مكتمل",IF(((B205="")+(C205="")+(D205="")+(E205="")+(F205="")+(H205="")+(I205="")+(J205="")+(M205="")+(Q205=""))&gt;0,"• حقول إلزامية ناقصة ","")&amp;IF(AND(D205&lt;&gt;"",COUNTIF($D$6:$D$205,D205)&gt;1),"• اسم المستخدم مكرر ","")&amp;IF(AND(D205&lt;&gt;"",ISNUMBER(SEARCH(" ",D205))),"• اسم المستخدم فيه مسافة ","")&amp;IF(AND(E205&lt;&gt;"",OR(ISERROR(SEARCH("@",E205)),ISERROR(SEARCH(".",E205)))),"• البريد غير صحيح ","")&amp;IF(AND(F205&lt;&gt;"",OR(LEN(F205)&lt;&gt;10,LEFT(F205,2)&lt;&gt;"05",ISERROR(--F205))),"• الجوال ليس بصيغة 05XXXXXXXX ","")&amp;IF(AND(L205&lt;&gt;"",OR(LEN(L205)&lt;2,LEN(L205)&gt;6,ISERROR(--L205),ISNUMBER(SEARCH(".",L205)))),"• التحويلة يجب أن تكون 2-6 أرقام ","")&amp;IF(AND(L205&lt;&gt;"",COUNTIF($L$6:$L$205,L205)&gt;1),"• التحويلة مكررة ","")&amp;IF(AND(M205="نعم",L205=""),"• يجري مكالمات بدون تحويلة ","")&amp;IF(AND(K205&lt;&gt;"",COUNTIF($D$6:$D$205,K205)=0),"• المشرف غير موجود في الجدول ","")&amp;IF(AND(J205="موظف تحصيل",K205=""),"• موظف التحصيل يحتاج مشرفاً ","")&amp;IF(AND(O205&lt;&gt;"",P205=""),"• نوع الهدف بدون قيمة ","")))</f>
        <v/>
      </c>
    </row>
  </sheetData>
  <autoFilter ref="A4:S205"/>
  <mergeCells count="3">
    <mergeCell ref="A3:S3"/>
    <mergeCell ref="A2:S2"/>
    <mergeCell ref="A1:S1"/>
  </mergeCells>
  <conditionalFormatting sqref="S6:S205">
    <cfRule type="expression" priority="1" dxfId="0">
      <formula>LEFT(S6,1)="✔"</formula>
    </cfRule>
    <cfRule type="expression" priority="2" dxfId="1">
      <formula>LEFT(S6,1)="•"</formula>
    </cfRule>
  </conditionalFormatting>
  <conditionalFormatting sqref="L6:L205">
    <cfRule type="expression" priority="3" dxfId="2">
      <formula>AND(L6&lt;&gt;"",COUNTIF($L$6:$L$205,L6)&gt;1)</formula>
    </cfRule>
  </conditionalFormatting>
  <conditionalFormatting sqref="D6:D205">
    <cfRule type="expression" priority="4" dxfId="2">
      <formula>AND(D6&lt;&gt;"",COUNTIF($D$6:$D$205,D6)&gt;1)</formula>
    </cfRule>
  </conditionalFormatting>
  <dataValidations count="8">
    <dataValidation sqref="J6:J205" showDropDown="0" showInputMessage="0" showErrorMessage="1" allowBlank="1" errorTitle="قيمة غير مسموحة" error="اختر قيمة من القائمة المنسدلة." type="list">
      <formula1>=القوائم!$A$2:$A$20</formula1>
    </dataValidation>
    <dataValidation sqref="M6:M205" showDropDown="0" showInputMessage="0" showErrorMessage="1" allowBlank="1" errorTitle="قيمة غير مسموحة" error="اختر قيمة من القائمة المنسدلة." type="list">
      <formula1>=القوائم!$C$2:$C$3</formula1>
    </dataValidation>
    <dataValidation sqref="O6:O205" showDropDown="0" showInputMessage="0" showErrorMessage="1" allowBlank="1" errorTitle="قيمة غير مسموحة" error="اختر قيمة من القائمة المنسدلة." type="list">
      <formula1>=القوائم!$D$2:$D$3</formula1>
    </dataValidation>
    <dataValidation sqref="Q6:Q205" showDropDown="0" showInputMessage="0" showErrorMessage="1" allowBlank="1" errorTitle="قيمة غير مسموحة" error="اختر قيمة من القائمة المنسدلة." type="list">
      <formula1>=القوائم!$E$2:$E$3</formula1>
    </dataValidation>
    <dataValidation sqref="H6:H205" showDropDown="0" showInputMessage="0" showErrorMessage="1" allowBlank="1" errorTitle="قيمة غير مسموحة" error="اختر قيمة من القائمة المنسدلة." type="list">
      <formula1>=القوائم!$F$2:$F$40</formula1>
    </dataValidation>
    <dataValidation sqref="I6:I205" showDropDown="0" showInputMessage="0" showErrorMessage="1" allowBlank="1" errorTitle="قيمة غير مسموحة" error="اختر قيمة من القائمة المنسدلة." type="list">
      <formula1>=القوائم!$G$2:$G$40</formula1>
    </dataValidation>
    <dataValidation sqref="K6:K205" showDropDown="0" showInputMessage="0" showErrorMessage="0" allowBlank="1" type="list">
      <formula1>=$D$6:$D$205</formula1>
    </dataValidation>
    <dataValidation sqref="P6:P205" showDropDown="0" showInputMessage="0" showErrorMessage="1" allowBlank="1" error="أدخل رقماً موجباً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8" customHeight="1">
      <c r="A1" s="21" t="inlineStr">
        <is>
          <t>ماذا يستطيع كل دور؟ (اقتراح أولي — عدّلوه إن كان فريقكم يعمل بطريقة مختلفة)</t>
        </is>
      </c>
    </row>
    <row r="2">
      <c r="A2" s="22" t="inlineStr">
        <is>
          <t>الصلاحية</t>
        </is>
      </c>
      <c r="B2" s="22" t="inlineStr">
        <is>
          <t>مدير النظام</t>
        </is>
      </c>
      <c r="C2" s="22" t="inlineStr">
        <is>
          <t>مشرف</t>
        </is>
      </c>
      <c r="D2" s="22" t="inlineStr">
        <is>
          <t>موظف تحصيل</t>
        </is>
      </c>
      <c r="E2" s="22" t="inlineStr">
        <is>
          <t>مراقب جودة</t>
        </is>
      </c>
      <c r="F2" s="22" t="inlineStr">
        <is>
          <t>مالية / حسابات</t>
        </is>
      </c>
      <c r="G2" s="22" t="inlineStr">
        <is>
          <t>قانوني</t>
        </is>
      </c>
      <c r="H2" s="22" t="inlineStr">
        <is>
          <t>عمليات</t>
        </is>
      </c>
      <c r="I2" s="22" t="inlineStr">
        <is>
          <t>مشاهدة وتقارير فقط</t>
        </is>
      </c>
    </row>
    <row r="3">
      <c r="A3" s="11" t="inlineStr">
        <is>
          <t>لوحة المعلومات</t>
        </is>
      </c>
      <c r="B3" s="23" t="inlineStr">
        <is>
          <t>✔</t>
        </is>
      </c>
      <c r="C3" s="23" t="inlineStr">
        <is>
          <t>✔</t>
        </is>
      </c>
      <c r="D3" s="23" t="inlineStr">
        <is>
          <t>✔</t>
        </is>
      </c>
      <c r="E3" s="23" t="inlineStr">
        <is>
          <t>✔</t>
        </is>
      </c>
      <c r="F3" s="23" t="inlineStr">
        <is>
          <t>✔</t>
        </is>
      </c>
      <c r="G3" s="23" t="inlineStr">
        <is>
          <t>✔</t>
        </is>
      </c>
      <c r="H3" s="23" t="inlineStr">
        <is>
          <t>✔</t>
        </is>
      </c>
      <c r="I3" s="23" t="inlineStr">
        <is>
          <t>✔</t>
        </is>
      </c>
    </row>
    <row r="4">
      <c r="A4" s="11" t="inlineStr">
        <is>
          <t>عرض العملاء وتفاصيلهم وسجلهم</t>
        </is>
      </c>
      <c r="B4" s="23" t="inlineStr">
        <is>
          <t>✔</t>
        </is>
      </c>
      <c r="C4" s="23" t="inlineStr">
        <is>
          <t>✔</t>
        </is>
      </c>
      <c r="D4" s="24" t="inlineStr">
        <is>
          <t>عملاؤه</t>
        </is>
      </c>
      <c r="E4" s="23" t="inlineStr">
        <is>
          <t>✔</t>
        </is>
      </c>
      <c r="F4" s="23" t="inlineStr">
        <is>
          <t>✔</t>
        </is>
      </c>
      <c r="G4" s="23" t="inlineStr">
        <is>
          <t>✔</t>
        </is>
      </c>
      <c r="H4" s="23" t="inlineStr">
        <is>
          <t>✔</t>
        </is>
      </c>
      <c r="I4" s="23" t="inlineStr">
        <is>
          <t>✔</t>
        </is>
      </c>
    </row>
    <row r="5">
      <c r="A5" s="11" t="inlineStr">
        <is>
          <t>إضافة وتعديل العملاء</t>
        </is>
      </c>
      <c r="B5" s="23" t="inlineStr">
        <is>
          <t>✔</t>
        </is>
      </c>
      <c r="C5" s="23" t="inlineStr">
        <is>
          <t>✔</t>
        </is>
      </c>
      <c r="D5" s="25" t="inlineStr">
        <is>
          <t>—</t>
        </is>
      </c>
      <c r="E5" s="25" t="inlineStr">
        <is>
          <t>—</t>
        </is>
      </c>
      <c r="F5" s="25" t="inlineStr">
        <is>
          <t>—</t>
        </is>
      </c>
      <c r="G5" s="25" t="inlineStr">
        <is>
          <t>—</t>
        </is>
      </c>
      <c r="H5" s="23" t="inlineStr">
        <is>
          <t>✔</t>
        </is>
      </c>
      <c r="I5" s="25" t="inlineStr">
        <is>
          <t>—</t>
        </is>
      </c>
    </row>
    <row r="6">
      <c r="A6" s="11" t="inlineStr">
        <is>
          <t>توزيع العملاء على الموظفين</t>
        </is>
      </c>
      <c r="B6" s="23" t="inlineStr">
        <is>
          <t>✔</t>
        </is>
      </c>
      <c r="C6" s="23" t="inlineStr">
        <is>
          <t>✔</t>
        </is>
      </c>
      <c r="D6" s="25" t="inlineStr">
        <is>
          <t>—</t>
        </is>
      </c>
      <c r="E6" s="25" t="inlineStr">
        <is>
          <t>—</t>
        </is>
      </c>
      <c r="F6" s="25" t="inlineStr">
        <is>
          <t>—</t>
        </is>
      </c>
      <c r="G6" s="25" t="inlineStr">
        <is>
          <t>—</t>
        </is>
      </c>
      <c r="H6" s="23" t="inlineStr">
        <is>
          <t>✔</t>
        </is>
      </c>
      <c r="I6" s="25" t="inlineStr">
        <is>
          <t>—</t>
        </is>
      </c>
    </row>
    <row r="7">
      <c r="A7" s="11" t="inlineStr">
        <is>
          <t>الملاحظات والمتابعات</t>
        </is>
      </c>
      <c r="B7" s="23" t="inlineStr">
        <is>
          <t>✔</t>
        </is>
      </c>
      <c r="C7" s="23" t="inlineStr">
        <is>
          <t>✔</t>
        </is>
      </c>
      <c r="D7" s="23" t="inlineStr">
        <is>
          <t>✔</t>
        </is>
      </c>
      <c r="E7" s="25" t="inlineStr">
        <is>
          <t>—</t>
        </is>
      </c>
      <c r="F7" s="25" t="inlineStr">
        <is>
          <t>—</t>
        </is>
      </c>
      <c r="G7" s="25" t="inlineStr">
        <is>
          <t>—</t>
        </is>
      </c>
      <c r="H7" s="25" t="inlineStr">
        <is>
          <t>—</t>
        </is>
      </c>
      <c r="I7" s="25" t="inlineStr">
        <is>
          <t>—</t>
        </is>
      </c>
    </row>
    <row r="8">
      <c r="A8" s="11" t="inlineStr">
        <is>
          <t>إدارة متابعات الآخرين</t>
        </is>
      </c>
      <c r="B8" s="23" t="inlineStr">
        <is>
          <t>✔</t>
        </is>
      </c>
      <c r="C8" s="23" t="inlineStr">
        <is>
          <t>✔</t>
        </is>
      </c>
      <c r="D8" s="25" t="inlineStr">
        <is>
          <t>—</t>
        </is>
      </c>
      <c r="E8" s="25" t="inlineStr">
        <is>
          <t>—</t>
        </is>
      </c>
      <c r="F8" s="25" t="inlineStr">
        <is>
          <t>—</t>
        </is>
      </c>
      <c r="G8" s="25" t="inlineStr">
        <is>
          <t>—</t>
        </is>
      </c>
      <c r="H8" s="25" t="inlineStr">
        <is>
          <t>—</t>
        </is>
      </c>
      <c r="I8" s="25" t="inlineStr">
        <is>
          <t>—</t>
        </is>
      </c>
    </row>
    <row r="9">
      <c r="A9" s="11" t="inlineStr">
        <is>
          <t>وعود السداد</t>
        </is>
      </c>
      <c r="B9" s="23" t="inlineStr">
        <is>
          <t>✔</t>
        </is>
      </c>
      <c r="C9" s="23" t="inlineStr">
        <is>
          <t>✔</t>
        </is>
      </c>
      <c r="D9" s="23" t="inlineStr">
        <is>
          <t>✔</t>
        </is>
      </c>
      <c r="E9" s="25" t="inlineStr">
        <is>
          <t>—</t>
        </is>
      </c>
      <c r="F9" s="23" t="inlineStr">
        <is>
          <t>✔</t>
        </is>
      </c>
      <c r="G9" s="25" t="inlineStr">
        <is>
          <t>—</t>
        </is>
      </c>
      <c r="H9" s="25" t="inlineStr">
        <is>
          <t>—</t>
        </is>
      </c>
      <c r="I9" s="25" t="inlineStr">
        <is>
          <t>—</t>
        </is>
      </c>
    </row>
    <row r="10">
      <c r="A10" s="11" t="inlineStr">
        <is>
          <t>تسجيل الدفعات</t>
        </is>
      </c>
      <c r="B10" s="23" t="inlineStr">
        <is>
          <t>✔</t>
        </is>
      </c>
      <c r="C10" s="23" t="inlineStr">
        <is>
          <t>✔</t>
        </is>
      </c>
      <c r="D10" s="23" t="inlineStr">
        <is>
          <t>✔</t>
        </is>
      </c>
      <c r="E10" s="25" t="inlineStr">
        <is>
          <t>—</t>
        </is>
      </c>
      <c r="F10" s="23" t="inlineStr">
        <is>
          <t>✔</t>
        </is>
      </c>
      <c r="G10" s="25" t="inlineStr">
        <is>
          <t>—</t>
        </is>
      </c>
      <c r="H10" s="25" t="inlineStr">
        <is>
          <t>—</t>
        </is>
      </c>
      <c r="I10" s="25" t="inlineStr">
        <is>
          <t>—</t>
        </is>
      </c>
    </row>
    <row r="11">
      <c r="A11" s="11" t="inlineStr">
        <is>
          <t>اعتماد أو رفض الدفعات</t>
        </is>
      </c>
      <c r="B11" s="23" t="inlineStr">
        <is>
          <t>✔</t>
        </is>
      </c>
      <c r="C11" s="23" t="inlineStr">
        <is>
          <t>✔</t>
        </is>
      </c>
      <c r="D11" s="25" t="inlineStr">
        <is>
          <t>—</t>
        </is>
      </c>
      <c r="E11" s="25" t="inlineStr">
        <is>
          <t>—</t>
        </is>
      </c>
      <c r="F11" s="23" t="inlineStr">
        <is>
          <t>✔</t>
        </is>
      </c>
      <c r="G11" s="25" t="inlineStr">
        <is>
          <t>—</t>
        </is>
      </c>
      <c r="H11" s="25" t="inlineStr">
        <is>
          <t>—</t>
        </is>
      </c>
      <c r="I11" s="25" t="inlineStr">
        <is>
          <t>—</t>
        </is>
      </c>
    </row>
    <row r="12">
      <c r="A12" s="11" t="inlineStr">
        <is>
          <t>عكس الدفعات المعتمدة</t>
        </is>
      </c>
      <c r="B12" s="23" t="inlineStr">
        <is>
          <t>✔</t>
        </is>
      </c>
      <c r="C12" s="25" t="inlineStr">
        <is>
          <t>—</t>
        </is>
      </c>
      <c r="D12" s="25" t="inlineStr">
        <is>
          <t>—</t>
        </is>
      </c>
      <c r="E12" s="25" t="inlineStr">
        <is>
          <t>—</t>
        </is>
      </c>
      <c r="F12" s="23" t="inlineStr">
        <is>
          <t>✔</t>
        </is>
      </c>
      <c r="G12" s="25" t="inlineStr">
        <is>
          <t>—</t>
        </is>
      </c>
      <c r="H12" s="25" t="inlineStr">
        <is>
          <t>—</t>
        </is>
      </c>
      <c r="I12" s="25" t="inlineStr">
        <is>
          <t>—</t>
        </is>
      </c>
    </row>
    <row r="13">
      <c r="A13" s="11" t="inlineStr">
        <is>
          <t>خطط السداد</t>
        </is>
      </c>
      <c r="B13" s="23" t="inlineStr">
        <is>
          <t>✔</t>
        </is>
      </c>
      <c r="C13" s="23" t="inlineStr">
        <is>
          <t>✔</t>
        </is>
      </c>
      <c r="D13" s="23" t="inlineStr">
        <is>
          <t>✔</t>
        </is>
      </c>
      <c r="E13" s="25" t="inlineStr">
        <is>
          <t>—</t>
        </is>
      </c>
      <c r="F13" s="23" t="inlineStr">
        <is>
          <t>✔</t>
        </is>
      </c>
      <c r="G13" s="25" t="inlineStr">
        <is>
          <t>—</t>
        </is>
      </c>
      <c r="H13" s="25" t="inlineStr">
        <is>
          <t>—</t>
        </is>
      </c>
      <c r="I13" s="25" t="inlineStr">
        <is>
          <t>—</t>
        </is>
      </c>
    </row>
    <row r="14">
      <c r="A14" s="11" t="inlineStr">
        <is>
          <t>الطلبات الداخلية</t>
        </is>
      </c>
      <c r="B14" s="23" t="inlineStr">
        <is>
          <t>✔</t>
        </is>
      </c>
      <c r="C14" s="23" t="inlineStr">
        <is>
          <t>✔</t>
        </is>
      </c>
      <c r="D14" s="23" t="inlineStr">
        <is>
          <t>✔</t>
        </is>
      </c>
      <c r="E14" s="25" t="inlineStr">
        <is>
          <t>—</t>
        </is>
      </c>
      <c r="F14" s="24" t="inlineStr">
        <is>
          <t>مالية</t>
        </is>
      </c>
      <c r="G14" s="24" t="inlineStr">
        <is>
          <t>قانونية</t>
        </is>
      </c>
      <c r="H14" s="24" t="inlineStr">
        <is>
          <t>عمليات</t>
        </is>
      </c>
      <c r="I14" s="25" t="inlineStr">
        <is>
          <t>—</t>
        </is>
      </c>
    </row>
    <row r="15">
      <c r="A15" s="11" t="inlineStr">
        <is>
          <t>إجراء المكالمات (سوفت فون / نقر للاتصال)</t>
        </is>
      </c>
      <c r="B15" s="23" t="inlineStr">
        <is>
          <t>✔</t>
        </is>
      </c>
      <c r="C15" s="23" t="inlineStr">
        <is>
          <t>✔</t>
        </is>
      </c>
      <c r="D15" s="23" t="inlineStr">
        <is>
          <t>✔</t>
        </is>
      </c>
      <c r="E15" s="25" t="inlineStr">
        <is>
          <t>—</t>
        </is>
      </c>
      <c r="F15" s="25" t="inlineStr">
        <is>
          <t>—</t>
        </is>
      </c>
      <c r="G15" s="25" t="inlineStr">
        <is>
          <t>—</t>
        </is>
      </c>
      <c r="H15" s="25" t="inlineStr">
        <is>
          <t>—</t>
        </is>
      </c>
      <c r="I15" s="25" t="inlineStr">
        <is>
          <t>—</t>
        </is>
      </c>
    </row>
    <row r="16">
      <c r="A16" s="11" t="inlineStr">
        <is>
          <t>حملات الاتصال</t>
        </is>
      </c>
      <c r="B16" s="23" t="inlineStr">
        <is>
          <t>✔</t>
        </is>
      </c>
      <c r="C16" s="23" t="inlineStr">
        <is>
          <t>✔ تشغيل وإيقاف</t>
        </is>
      </c>
      <c r="D16" s="23" t="inlineStr">
        <is>
          <t>✔</t>
        </is>
      </c>
      <c r="E16" s="25" t="inlineStr">
        <is>
          <t>—</t>
        </is>
      </c>
      <c r="F16" s="25" t="inlineStr">
        <is>
          <t>—</t>
        </is>
      </c>
      <c r="G16" s="25" t="inlineStr">
        <is>
          <t>—</t>
        </is>
      </c>
      <c r="H16" s="25" t="inlineStr">
        <is>
          <t>—</t>
        </is>
      </c>
      <c r="I16" s="25" t="inlineStr">
        <is>
          <t>—</t>
        </is>
      </c>
    </row>
    <row r="17">
      <c r="A17" s="11" t="inlineStr">
        <is>
          <t>إدارة الاتصال والتحويلات</t>
        </is>
      </c>
      <c r="B17" s="23" t="inlineStr">
        <is>
          <t>✔</t>
        </is>
      </c>
      <c r="C17" s="25" t="inlineStr">
        <is>
          <t>—</t>
        </is>
      </c>
      <c r="D17" s="25" t="inlineStr">
        <is>
          <t>—</t>
        </is>
      </c>
      <c r="E17" s="25" t="inlineStr">
        <is>
          <t>—</t>
        </is>
      </c>
      <c r="F17" s="25" t="inlineStr">
        <is>
          <t>—</t>
        </is>
      </c>
      <c r="G17" s="25" t="inlineStr">
        <is>
          <t>—</t>
        </is>
      </c>
      <c r="H17" s="25" t="inlineStr">
        <is>
          <t>—</t>
        </is>
      </c>
      <c r="I17" s="25" t="inlineStr">
        <is>
          <t>—</t>
        </is>
      </c>
    </row>
    <row r="18">
      <c r="A18" s="11" t="inlineStr">
        <is>
          <t>مسودات الذكاء الاصطناعي</t>
        </is>
      </c>
      <c r="B18" s="23" t="inlineStr">
        <is>
          <t>✔</t>
        </is>
      </c>
      <c r="C18" s="23" t="inlineStr">
        <is>
          <t>✔</t>
        </is>
      </c>
      <c r="D18" s="23" t="inlineStr">
        <is>
          <t>✔</t>
        </is>
      </c>
      <c r="E18" s="23" t="inlineStr">
        <is>
          <t>✔</t>
        </is>
      </c>
      <c r="F18" s="25" t="inlineStr">
        <is>
          <t>—</t>
        </is>
      </c>
      <c r="G18" s="25" t="inlineStr">
        <is>
          <t>—</t>
        </is>
      </c>
      <c r="H18" s="25" t="inlineStr">
        <is>
          <t>—</t>
        </is>
      </c>
      <c r="I18" s="25" t="inlineStr">
        <is>
          <t>—</t>
        </is>
      </c>
    </row>
    <row r="19">
      <c r="A19" s="11" t="inlineStr">
        <is>
          <t>مراجعة الجودة</t>
        </is>
      </c>
      <c r="B19" s="23" t="inlineStr">
        <is>
          <t>✔</t>
        </is>
      </c>
      <c r="C19" s="23" t="inlineStr">
        <is>
          <t>✔</t>
        </is>
      </c>
      <c r="D19" s="25" t="inlineStr">
        <is>
          <t>—</t>
        </is>
      </c>
      <c r="E19" s="23" t="inlineStr">
        <is>
          <t>✔</t>
        </is>
      </c>
      <c r="F19" s="25" t="inlineStr">
        <is>
          <t>—</t>
        </is>
      </c>
      <c r="G19" s="25" t="inlineStr">
        <is>
          <t>—</t>
        </is>
      </c>
      <c r="H19" s="25" t="inlineStr">
        <is>
          <t>—</t>
        </is>
      </c>
      <c r="I19" s="25" t="inlineStr">
        <is>
          <t>—</t>
        </is>
      </c>
    </row>
    <row r="20">
      <c r="A20" s="11" t="inlineStr">
        <is>
          <t>اعتماد مراجعات الجودة</t>
        </is>
      </c>
      <c r="B20" s="23" t="inlineStr">
        <is>
          <t>✔</t>
        </is>
      </c>
      <c r="C20" s="25" t="inlineStr">
        <is>
          <t>—</t>
        </is>
      </c>
      <c r="D20" s="25" t="inlineStr">
        <is>
          <t>—</t>
        </is>
      </c>
      <c r="E20" s="23" t="inlineStr">
        <is>
          <t>✔</t>
        </is>
      </c>
      <c r="F20" s="25" t="inlineStr">
        <is>
          <t>—</t>
        </is>
      </c>
      <c r="G20" s="25" t="inlineStr">
        <is>
          <t>—</t>
        </is>
      </c>
      <c r="H20" s="25" t="inlineStr">
        <is>
          <t>—</t>
        </is>
      </c>
      <c r="I20" s="25" t="inlineStr">
        <is>
          <t>—</t>
        </is>
      </c>
    </row>
    <row r="21">
      <c r="A21" s="11" t="inlineStr">
        <is>
          <t>مختبر التدريب الصوتي</t>
        </is>
      </c>
      <c r="B21" s="23" t="inlineStr">
        <is>
          <t>✔</t>
        </is>
      </c>
      <c r="C21" s="23" t="inlineStr">
        <is>
          <t>✔</t>
        </is>
      </c>
      <c r="D21" s="23" t="inlineStr">
        <is>
          <t>✔</t>
        </is>
      </c>
      <c r="E21" s="23" t="inlineStr">
        <is>
          <t>✔</t>
        </is>
      </c>
      <c r="F21" s="25" t="inlineStr">
        <is>
          <t>—</t>
        </is>
      </c>
      <c r="G21" s="25" t="inlineStr">
        <is>
          <t>—</t>
        </is>
      </c>
      <c r="H21" s="25" t="inlineStr">
        <is>
          <t>—</t>
        </is>
      </c>
      <c r="I21" s="25" t="inlineStr">
        <is>
          <t>—</t>
        </is>
      </c>
    </row>
    <row r="22">
      <c r="A22" s="11" t="inlineStr">
        <is>
          <t>التقارير</t>
        </is>
      </c>
      <c r="B22" s="23" t="inlineStr">
        <is>
          <t>✔</t>
        </is>
      </c>
      <c r="C22" s="23" t="inlineStr">
        <is>
          <t>✔</t>
        </is>
      </c>
      <c r="D22" s="25" t="inlineStr">
        <is>
          <t>—</t>
        </is>
      </c>
      <c r="E22" s="23" t="inlineStr">
        <is>
          <t>✔ المكالمات</t>
        </is>
      </c>
      <c r="F22" s="23" t="inlineStr">
        <is>
          <t>✔</t>
        </is>
      </c>
      <c r="G22" s="25" t="inlineStr">
        <is>
          <t>—</t>
        </is>
      </c>
      <c r="H22" s="23" t="inlineStr">
        <is>
          <t>✔</t>
        </is>
      </c>
      <c r="I22" s="23" t="inlineStr">
        <is>
          <t>✔</t>
        </is>
      </c>
    </row>
    <row r="23">
      <c r="A23" s="11" t="inlineStr">
        <is>
          <t>التحديث الجماعي من إكسل</t>
        </is>
      </c>
      <c r="B23" s="23" t="inlineStr">
        <is>
          <t>✔</t>
        </is>
      </c>
      <c r="C23" s="25" t="inlineStr">
        <is>
          <t>—</t>
        </is>
      </c>
      <c r="D23" s="25" t="inlineStr">
        <is>
          <t>—</t>
        </is>
      </c>
      <c r="E23" s="25" t="inlineStr">
        <is>
          <t>—</t>
        </is>
      </c>
      <c r="F23" s="25" t="inlineStr">
        <is>
          <t>—</t>
        </is>
      </c>
      <c r="G23" s="25" t="inlineStr">
        <is>
          <t>—</t>
        </is>
      </c>
      <c r="H23" s="23" t="inlineStr">
        <is>
          <t>✔</t>
        </is>
      </c>
      <c r="I23" s="25" t="inlineStr">
        <is>
          <t>—</t>
        </is>
      </c>
    </row>
    <row r="24">
      <c r="A24" s="11" t="inlineStr">
        <is>
          <t>المستخدمون والأدوار والإعدادات</t>
        </is>
      </c>
      <c r="B24" s="23" t="inlineStr">
        <is>
          <t>✔</t>
        </is>
      </c>
      <c r="C24" s="25" t="inlineStr">
        <is>
          <t>—</t>
        </is>
      </c>
      <c r="D24" s="25" t="inlineStr">
        <is>
          <t>—</t>
        </is>
      </c>
      <c r="E24" s="25" t="inlineStr">
        <is>
          <t>—</t>
        </is>
      </c>
      <c r="F24" s="25" t="inlineStr">
        <is>
          <t>—</t>
        </is>
      </c>
      <c r="G24" s="25" t="inlineStr">
        <is>
          <t>—</t>
        </is>
      </c>
      <c r="H24" s="25" t="inlineStr">
        <is>
          <t>—</t>
        </is>
      </c>
      <c r="I24" s="25" t="inlineStr">
        <is>
          <t>—</t>
        </is>
      </c>
    </row>
    <row r="26">
      <c r="A26" s="26" t="inlineStr">
        <is>
          <t>✔ = مسموح   — = غير مسموح   نص آخر = مسموح بحدود (مثل: عملاؤه فقط).</t>
        </is>
      </c>
    </row>
    <row r="27">
      <c r="A27" s="26" t="inlineStr">
        <is>
          <t>الأدوار نفسها تُنشأ في النظام من شاشة الأدوار، وكل دور يمكن تعديل صلاحياته بدقة بعد الإنشاء. إن احتجتم دوراً غير موجود أضيفوه في ورقة (القوائم).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rightToLeft="1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>
      <c r="A1" s="27" t="inlineStr">
        <is>
          <t>الدور / الصلاحية</t>
        </is>
      </c>
      <c r="B1" s="27" t="inlineStr">
        <is>
          <t>وصف الدور</t>
        </is>
      </c>
      <c r="C1" s="27" t="inlineStr">
        <is>
          <t>نعم / لا</t>
        </is>
      </c>
      <c r="D1" s="27" t="inlineStr">
        <is>
          <t>نوع الهدف</t>
        </is>
      </c>
      <c r="E1" s="27" t="inlineStr">
        <is>
          <t>الحالة</t>
        </is>
      </c>
      <c r="F1" s="27" t="inlineStr">
        <is>
          <t>الجنسية</t>
        </is>
      </c>
      <c r="G1" s="27" t="inlineStr">
        <is>
          <t>الفرع</t>
        </is>
      </c>
    </row>
    <row r="2">
      <c r="A2" s="4" t="inlineStr">
        <is>
          <t>مدير النظام</t>
        </is>
      </c>
      <c r="B2" s="4" t="inlineStr">
        <is>
          <t>كل الصلاحيات: المستخدمون، الأدوار، الإعدادات، إدارة الاتصال والتحويلات، الذكاء الاصطناعي</t>
        </is>
      </c>
      <c r="C2" s="4" t="inlineStr">
        <is>
          <t>نعم</t>
        </is>
      </c>
      <c r="D2" s="4" t="inlineStr">
        <is>
          <t>مبلغ</t>
        </is>
      </c>
      <c r="E2" s="4" t="inlineStr">
        <is>
          <t>نشط</t>
        </is>
      </c>
      <c r="F2" s="28" t="inlineStr">
        <is>
          <t>سعودي</t>
        </is>
      </c>
      <c r="G2" s="28" t="inlineStr">
        <is>
          <t>الرياض</t>
        </is>
      </c>
    </row>
    <row r="3">
      <c r="A3" s="4" t="inlineStr">
        <is>
          <t>مشرف</t>
        </is>
      </c>
      <c r="B3" s="4" t="inlineStr">
        <is>
          <t>يتابع فريقه: توزيع العملاء، إدارة متابعات الفريق، اعتماد الدفعات، الحملات، التقارير، مراجعة الجودة</t>
        </is>
      </c>
      <c r="C3" s="4" t="inlineStr">
        <is>
          <t>لا</t>
        </is>
      </c>
      <c r="D3" s="4" t="inlineStr">
        <is>
          <t>نسبة</t>
        </is>
      </c>
      <c r="E3" s="4" t="inlineStr">
        <is>
          <t>غير نشط</t>
        </is>
      </c>
      <c r="F3" s="28" t="inlineStr">
        <is>
          <t>مصري</t>
        </is>
      </c>
      <c r="G3" s="28" t="inlineStr">
        <is>
          <t>جدة</t>
        </is>
      </c>
    </row>
    <row r="4">
      <c r="A4" s="4" t="inlineStr">
        <is>
          <t>موظف تحصيل</t>
        </is>
      </c>
      <c r="B4" s="4" t="inlineStr">
        <is>
          <t>عملاؤه فقط: الملاحظات، وعود السداد، المتابعات، إجراء المكالمات، طلبات داخلية</t>
        </is>
      </c>
      <c r="C4" s="4" t="n"/>
      <c r="D4" s="4" t="n"/>
      <c r="E4" s="4" t="n"/>
      <c r="F4" s="28" t="inlineStr">
        <is>
          <t>أردني</t>
        </is>
      </c>
      <c r="G4" s="28" t="inlineStr">
        <is>
          <t>الدمام</t>
        </is>
      </c>
    </row>
    <row r="5">
      <c r="A5" s="4" t="inlineStr">
        <is>
          <t>مراقب جودة</t>
        </is>
      </c>
      <c r="B5" s="4" t="inlineStr">
        <is>
          <t>مراجعة المكالمات والتقييم، مختبر التدريب الصوتي، تقارير المكالمات (بدون تعديل مالي)</t>
        </is>
      </c>
      <c r="C5" s="4" t="n"/>
      <c r="D5" s="4" t="n"/>
      <c r="E5" s="4" t="n"/>
      <c r="F5" s="28" t="inlineStr">
        <is>
          <t>سوداني</t>
        </is>
      </c>
      <c r="G5" s="28" t="n"/>
    </row>
    <row r="6">
      <c r="A6" s="4" t="inlineStr">
        <is>
          <t>مالية / حسابات</t>
        </is>
      </c>
      <c r="B6" s="4" t="inlineStr">
        <is>
          <t>الدفعات: اعتماد ورفض وعكس، مراجعة الطلبات المالية، تقارير التحصيل</t>
        </is>
      </c>
      <c r="C6" s="4" t="n"/>
      <c r="D6" s="4" t="n"/>
      <c r="E6" s="4" t="n"/>
      <c r="F6" s="28" t="inlineStr">
        <is>
          <t>يمني</t>
        </is>
      </c>
      <c r="G6" s="28" t="n"/>
    </row>
    <row r="7">
      <c r="A7" s="4" t="inlineStr">
        <is>
          <t>قانوني</t>
        </is>
      </c>
      <c r="B7" s="4" t="inlineStr">
        <is>
          <t>مراجعة الطلبات القانونية وعرض ملف العميل وسجله</t>
        </is>
      </c>
      <c r="C7" s="4" t="n"/>
      <c r="D7" s="4" t="n"/>
      <c r="E7" s="4" t="n"/>
      <c r="F7" s="28" t="inlineStr">
        <is>
          <t>باكستاني</t>
        </is>
      </c>
      <c r="G7" s="28" t="n"/>
    </row>
    <row r="8">
      <c r="A8" s="4" t="inlineStr">
        <is>
          <t>عمليات</t>
        </is>
      </c>
      <c r="B8" s="4" t="inlineStr">
        <is>
          <t>مراجعة طلبات العمليات، التحديث الجماعي من إكسل، تصحيحات بيانات العملاء</t>
        </is>
      </c>
      <c r="C8" s="4" t="n"/>
      <c r="D8" s="4" t="n"/>
      <c r="E8" s="4" t="n"/>
      <c r="F8" s="28" t="inlineStr">
        <is>
          <t>هندي</t>
        </is>
      </c>
      <c r="G8" s="28" t="n"/>
    </row>
    <row r="9">
      <c r="A9" s="4" t="inlineStr">
        <is>
          <t>مشاهدة وتقارير فقط</t>
        </is>
      </c>
      <c r="B9" s="4" t="inlineStr">
        <is>
          <t>عرض لوحة المعلومات والتقارير بدون أي تعديل</t>
        </is>
      </c>
      <c r="C9" s="4" t="n"/>
      <c r="D9" s="4" t="n"/>
      <c r="E9" s="4" t="n"/>
      <c r="F9" s="28" t="inlineStr">
        <is>
          <t>فلبيني</t>
        </is>
      </c>
      <c r="G9" s="28" t="n"/>
    </row>
    <row r="10">
      <c r="A10" s="4" t="n"/>
      <c r="B10" s="4" t="n"/>
      <c r="C10" s="4" t="n"/>
      <c r="D10" s="4" t="n"/>
      <c r="E10" s="4" t="n"/>
      <c r="F10" s="28" t="inlineStr">
        <is>
          <t>أخرى</t>
        </is>
      </c>
      <c r="G10" s="28" t="n"/>
    </row>
    <row r="11">
      <c r="A11" s="4" t="n"/>
      <c r="B11" s="4" t="n"/>
      <c r="C11" s="4" t="n"/>
      <c r="D11" s="4" t="n"/>
      <c r="E11" s="4" t="n"/>
      <c r="F11" s="28" t="n"/>
      <c r="G11" s="28" t="n"/>
    </row>
    <row r="12">
      <c r="A12" s="4" t="n"/>
      <c r="B12" s="4" t="n"/>
      <c r="C12" s="4" t="n"/>
      <c r="D12" s="4" t="n"/>
      <c r="E12" s="4" t="n"/>
      <c r="F12" s="28" t="n"/>
      <c r="G12" s="28" t="n"/>
    </row>
    <row r="13">
      <c r="A13" s="4" t="n"/>
      <c r="B13" s="4" t="n"/>
      <c r="C13" s="4" t="n"/>
      <c r="D13" s="4" t="n"/>
      <c r="E13" s="4" t="n"/>
      <c r="F13" s="28" t="n"/>
      <c r="G13" s="28" t="n"/>
    </row>
    <row r="14">
      <c r="A14" s="4" t="n"/>
      <c r="B14" s="4" t="n"/>
      <c r="C14" s="4" t="n"/>
      <c r="D14" s="4" t="n"/>
      <c r="E14" s="4" t="n"/>
      <c r="F14" s="28" t="n"/>
      <c r="G14" s="28" t="n"/>
    </row>
    <row r="15">
      <c r="A15" s="4" t="n"/>
      <c r="B15" s="4" t="n"/>
      <c r="C15" s="4" t="n"/>
      <c r="D15" s="4" t="n"/>
      <c r="E15" s="4" t="n"/>
      <c r="F15" s="28" t="n"/>
      <c r="G15" s="28" t="n"/>
    </row>
    <row r="16">
      <c r="A16" s="4" t="n"/>
      <c r="B16" s="4" t="n"/>
      <c r="C16" s="4" t="n"/>
      <c r="D16" s="4" t="n"/>
      <c r="E16" s="4" t="n"/>
      <c r="F16" s="28" t="n"/>
      <c r="G16" s="28" t="n"/>
    </row>
    <row r="17">
      <c r="A17" s="4" t="n"/>
      <c r="B17" s="4" t="n"/>
      <c r="C17" s="4" t="n"/>
      <c r="D17" s="4" t="n"/>
      <c r="E17" s="4" t="n"/>
      <c r="F17" s="28" t="n"/>
      <c r="G17" s="28" t="n"/>
    </row>
    <row r="18">
      <c r="A18" s="4" t="n"/>
      <c r="B18" s="4" t="n"/>
      <c r="C18" s="4" t="n"/>
      <c r="D18" s="4" t="n"/>
      <c r="E18" s="4" t="n"/>
      <c r="F18" s="28" t="n"/>
      <c r="G18" s="28" t="n"/>
    </row>
    <row r="19">
      <c r="A19" s="4" t="n"/>
      <c r="B19" s="4" t="n"/>
      <c r="C19" s="4" t="n"/>
      <c r="D19" s="4" t="n"/>
      <c r="E19" s="4" t="n"/>
      <c r="F19" s="28" t="n"/>
      <c r="G19" s="28" t="n"/>
    </row>
    <row r="20">
      <c r="A20" s="4" t="n"/>
      <c r="B20" s="4" t="n"/>
      <c r="C20" s="4" t="n"/>
      <c r="D20" s="4" t="n"/>
      <c r="E20" s="4" t="n"/>
      <c r="F20" s="29" t="inlineStr">
        <is>
          <t>الخلايا الصفراء في عمودي الجنسية والفرع قابلة للتعديل: أضيفوا الفروع والجنسيات الفعلية تحت القائمة (حتى الصف 40) وستظهر في القائمة المنسدلة.</t>
        </is>
      </c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  <c r="F25" s="28" t="n"/>
      <c r="G25" s="28" t="n"/>
    </row>
    <row r="26">
      <c r="A26" s="4" t="n"/>
      <c r="B26" s="4" t="n"/>
      <c r="C26" s="4" t="n"/>
      <c r="D26" s="4" t="n"/>
      <c r="E26" s="4" t="n"/>
      <c r="F26" s="28" t="n"/>
      <c r="G26" s="28" t="n"/>
    </row>
    <row r="27">
      <c r="A27" s="4" t="n"/>
      <c r="B27" s="4" t="n"/>
      <c r="C27" s="4" t="n"/>
      <c r="D27" s="4" t="n"/>
      <c r="E27" s="4" t="n"/>
      <c r="F27" s="28" t="n"/>
      <c r="G27" s="28" t="n"/>
    </row>
    <row r="28">
      <c r="A28" s="4" t="n"/>
      <c r="B28" s="4" t="n"/>
      <c r="C28" s="4" t="n"/>
      <c r="D28" s="4" t="n"/>
      <c r="E28" s="4" t="n"/>
      <c r="F28" s="28" t="n"/>
      <c r="G28" s="28" t="n"/>
    </row>
    <row r="29">
      <c r="A29" s="4" t="n"/>
      <c r="B29" s="4" t="n"/>
      <c r="C29" s="4" t="n"/>
      <c r="D29" s="4" t="n"/>
      <c r="E29" s="4" t="n"/>
      <c r="F29" s="28" t="n"/>
      <c r="G29" s="28" t="n"/>
    </row>
    <row r="30">
      <c r="A30" s="4" t="n"/>
      <c r="B30" s="4" t="n"/>
      <c r="C30" s="4" t="n"/>
      <c r="D30" s="4" t="n"/>
      <c r="E30" s="4" t="n"/>
      <c r="F30" s="28" t="n"/>
      <c r="G30" s="28" t="n"/>
    </row>
    <row r="31">
      <c r="A31" s="4" t="n"/>
      <c r="B31" s="4" t="n"/>
      <c r="C31" s="4" t="n"/>
      <c r="D31" s="4" t="n"/>
      <c r="E31" s="4" t="n"/>
      <c r="F31" s="28" t="n"/>
      <c r="G31" s="28" t="n"/>
    </row>
    <row r="32">
      <c r="A32" s="4" t="n"/>
      <c r="B32" s="4" t="n"/>
      <c r="C32" s="4" t="n"/>
      <c r="D32" s="4" t="n"/>
      <c r="E32" s="4" t="n"/>
      <c r="F32" s="28" t="n"/>
      <c r="G32" s="28" t="n"/>
    </row>
    <row r="33">
      <c r="A33" s="4" t="n"/>
      <c r="B33" s="4" t="n"/>
      <c r="C33" s="4" t="n"/>
      <c r="D33" s="4" t="n"/>
      <c r="E33" s="4" t="n"/>
      <c r="F33" s="28" t="n"/>
      <c r="G33" s="28" t="n"/>
    </row>
    <row r="34">
      <c r="A34" s="4" t="n"/>
      <c r="B34" s="4" t="n"/>
      <c r="C34" s="4" t="n"/>
      <c r="D34" s="4" t="n"/>
      <c r="E34" s="4" t="n"/>
      <c r="F34" s="28" t="n"/>
      <c r="G34" s="28" t="n"/>
    </row>
    <row r="35">
      <c r="A35" s="4" t="n"/>
      <c r="B35" s="4" t="n"/>
      <c r="C35" s="4" t="n"/>
      <c r="D35" s="4" t="n"/>
      <c r="E35" s="4" t="n"/>
      <c r="F35" s="28" t="n"/>
      <c r="G35" s="28" t="n"/>
    </row>
    <row r="36">
      <c r="A36" s="4" t="n"/>
      <c r="B36" s="4" t="n"/>
      <c r="C36" s="4" t="n"/>
      <c r="D36" s="4" t="n"/>
      <c r="E36" s="4" t="n"/>
      <c r="F36" s="28" t="n"/>
      <c r="G36" s="28" t="n"/>
    </row>
    <row r="37">
      <c r="A37" s="4" t="n"/>
      <c r="B37" s="4" t="n"/>
      <c r="C37" s="4" t="n"/>
      <c r="D37" s="4" t="n"/>
      <c r="E37" s="4" t="n"/>
      <c r="F37" s="28" t="n"/>
      <c r="G37" s="28" t="n"/>
    </row>
    <row r="38">
      <c r="A38" s="4" t="n"/>
      <c r="B38" s="4" t="n"/>
      <c r="C38" s="4" t="n"/>
      <c r="D38" s="4" t="n"/>
      <c r="E38" s="4" t="n"/>
      <c r="F38" s="28" t="n"/>
      <c r="G38" s="28" t="n"/>
    </row>
    <row r="39">
      <c r="A39" s="4" t="n"/>
      <c r="B39" s="4" t="n"/>
      <c r="C39" s="4" t="n"/>
      <c r="D39" s="4" t="n"/>
      <c r="E39" s="4" t="n"/>
      <c r="F39" s="28" t="n"/>
      <c r="G39" s="28" t="n"/>
    </row>
    <row r="40">
      <c r="A40" s="4" t="n"/>
      <c r="B40" s="4" t="n"/>
      <c r="C40" s="4" t="n"/>
      <c r="D40" s="4" t="n"/>
      <c r="E40" s="4" t="n"/>
      <c r="F40" s="28" t="n"/>
      <c r="G40" s="28" t="n"/>
    </row>
  </sheetData>
  <mergeCells count="1">
    <mergeCell ref="F20:G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2026-09-30T07:15:42Z</dcterms:created>
  <dcterms:modified xmlns:dcterms="http://purl.org/dc/terms/" xmlns:xsi="http://www.w3.org/2001/XMLSchema-instance" xsi:type="dcterms:W3CDTF">2026-09-30T07:15:42Z</dcterms:modified>
</cp:coreProperties>
</file>